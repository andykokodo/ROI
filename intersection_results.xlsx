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ZER\Downloads\"/>
    </mc:Choice>
  </mc:AlternateContent>
  <xr:revisionPtr revIDLastSave="0" documentId="13_ncr:1_{CBEBEF1E-4ECB-4255-AD8C-459A1D79F2CF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Intersections" sheetId="1" r:id="rId1"/>
  </sheets>
  <definedNames>
    <definedName name="_xlchart.v1.0" hidden="1">Intersections!$Q$25:$Q$144</definedName>
    <definedName name="_xlchart.v1.1" hidden="1">Intersections!$Q$25:$Q$145</definedName>
    <definedName name="_xlchart.v1.2" hidden="1">Intersections!$X$25:$X$144</definedName>
    <definedName name="_xlchart.v1.3" hidden="1">Intersections!$Y$25:$Y$145</definedName>
  </definedNames>
  <calcPr calcId="191029"/>
</workbook>
</file>

<file path=xl/calcChain.xml><?xml version="1.0" encoding="utf-8"?>
<calcChain xmlns="http://schemas.openxmlformats.org/spreadsheetml/2006/main">
  <c r="Y2" i="1" l="1"/>
  <c r="P3" i="1"/>
  <c r="Q3" i="1" s="1"/>
  <c r="P4" i="1"/>
  <c r="P5" i="1"/>
  <c r="S5" i="1" s="1"/>
  <c r="P6" i="1"/>
  <c r="P7" i="1"/>
  <c r="P8" i="1"/>
  <c r="P9" i="1"/>
  <c r="P10" i="1"/>
  <c r="P11" i="1"/>
  <c r="P12" i="1"/>
  <c r="P13" i="1"/>
  <c r="P14" i="1"/>
  <c r="P15" i="1"/>
  <c r="P16" i="1"/>
  <c r="P17" i="1"/>
  <c r="S17" i="1" s="1"/>
  <c r="P18" i="1"/>
  <c r="P19" i="1"/>
  <c r="Q19" i="1" s="1"/>
  <c r="P20" i="1"/>
  <c r="Q20" i="1" s="1"/>
  <c r="P21" i="1"/>
  <c r="Q21" i="1" s="1"/>
  <c r="P22" i="1"/>
  <c r="Q22" i="1" s="1"/>
  <c r="P23" i="1"/>
  <c r="P24" i="1"/>
  <c r="P25" i="1"/>
  <c r="P26" i="1"/>
  <c r="P27" i="1"/>
  <c r="P28" i="1"/>
  <c r="P29" i="1"/>
  <c r="P30" i="1"/>
  <c r="P31" i="1"/>
  <c r="P32" i="1"/>
  <c r="P33" i="1"/>
  <c r="Q33" i="1" s="1"/>
  <c r="P34" i="1"/>
  <c r="S34" i="1" s="1"/>
  <c r="P35" i="1"/>
  <c r="Q35" i="1" s="1"/>
  <c r="P36" i="1"/>
  <c r="Q36" i="1" s="1"/>
  <c r="P37" i="1"/>
  <c r="Q37" i="1" s="1"/>
  <c r="P38" i="1"/>
  <c r="P39" i="1"/>
  <c r="P40" i="1"/>
  <c r="P41" i="1"/>
  <c r="P42" i="1"/>
  <c r="P43" i="1"/>
  <c r="P44" i="1"/>
  <c r="P45" i="1"/>
  <c r="P46" i="1"/>
  <c r="P47" i="1"/>
  <c r="P48" i="1"/>
  <c r="Q48" i="1" s="1"/>
  <c r="P49" i="1"/>
  <c r="S49" i="1" s="1"/>
  <c r="P50" i="1"/>
  <c r="S50" i="1" s="1"/>
  <c r="P51" i="1"/>
  <c r="S51" i="1" s="1"/>
  <c r="P52" i="1"/>
  <c r="Q52" i="1" s="1"/>
  <c r="P53" i="1"/>
  <c r="S53" i="1" s="1"/>
  <c r="P54" i="1"/>
  <c r="P55" i="1"/>
  <c r="P56" i="1"/>
  <c r="P57" i="1"/>
  <c r="P58" i="1"/>
  <c r="P59" i="1"/>
  <c r="P60" i="1"/>
  <c r="P61" i="1"/>
  <c r="P62" i="1"/>
  <c r="P63" i="1"/>
  <c r="Q63" i="1" s="1"/>
  <c r="P64" i="1"/>
  <c r="Q64" i="1" s="1"/>
  <c r="P65" i="1"/>
  <c r="S65" i="1" s="1"/>
  <c r="P66" i="1"/>
  <c r="S66" i="1" s="1"/>
  <c r="P67" i="1"/>
  <c r="Q67" i="1" s="1"/>
  <c r="P68" i="1"/>
  <c r="P69" i="1"/>
  <c r="S69" i="1" s="1"/>
  <c r="P70" i="1"/>
  <c r="P71" i="1"/>
  <c r="P72" i="1"/>
  <c r="P73" i="1"/>
  <c r="P74" i="1"/>
  <c r="P75" i="1"/>
  <c r="P76" i="1"/>
  <c r="P77" i="1"/>
  <c r="P78" i="1"/>
  <c r="P79" i="1"/>
  <c r="P80" i="1"/>
  <c r="Q80" i="1" s="1"/>
  <c r="P81" i="1"/>
  <c r="S81" i="1" s="1"/>
  <c r="P82" i="1"/>
  <c r="P83" i="1"/>
  <c r="Q83" i="1" s="1"/>
  <c r="P84" i="1"/>
  <c r="P85" i="1"/>
  <c r="Q85" i="1" s="1"/>
  <c r="P86" i="1"/>
  <c r="P87" i="1"/>
  <c r="P88" i="1"/>
  <c r="P89" i="1"/>
  <c r="P90" i="1"/>
  <c r="P91" i="1"/>
  <c r="P92" i="1"/>
  <c r="P93" i="1"/>
  <c r="P94" i="1"/>
  <c r="P95" i="1"/>
  <c r="P96" i="1"/>
  <c r="P97" i="1"/>
  <c r="Q97" i="1" s="1"/>
  <c r="P98" i="1"/>
  <c r="P99" i="1"/>
  <c r="S99" i="1" s="1"/>
  <c r="P100" i="1"/>
  <c r="P101" i="1"/>
  <c r="Q101" i="1" s="1"/>
  <c r="P102" i="1"/>
  <c r="Q102" i="1" s="1"/>
  <c r="P103" i="1"/>
  <c r="P104" i="1"/>
  <c r="P105" i="1"/>
  <c r="P106" i="1"/>
  <c r="P107" i="1"/>
  <c r="P108" i="1"/>
  <c r="P109" i="1"/>
  <c r="P110" i="1"/>
  <c r="P111" i="1"/>
  <c r="P112" i="1"/>
  <c r="S112" i="1" s="1"/>
  <c r="P113" i="1"/>
  <c r="S113" i="1" s="1"/>
  <c r="P114" i="1"/>
  <c r="Q114" i="1" s="1"/>
  <c r="P115" i="1"/>
  <c r="Q115" i="1" s="1"/>
  <c r="P116" i="1"/>
  <c r="Q116" i="1" s="1"/>
  <c r="P117" i="1"/>
  <c r="Q117" i="1" s="1"/>
  <c r="P118" i="1"/>
  <c r="Q118" i="1" s="1"/>
  <c r="P119" i="1"/>
  <c r="P120" i="1"/>
  <c r="P121" i="1"/>
  <c r="P122" i="1"/>
  <c r="P123" i="1"/>
  <c r="P124" i="1"/>
  <c r="P125" i="1"/>
  <c r="P126" i="1"/>
  <c r="P127" i="1"/>
  <c r="P128" i="1"/>
  <c r="S128" i="1" s="1"/>
  <c r="P129" i="1"/>
  <c r="S129" i="1" s="1"/>
  <c r="P130" i="1"/>
  <c r="Q130" i="1" s="1"/>
  <c r="P131" i="1"/>
  <c r="S131" i="1" s="1"/>
  <c r="P132" i="1"/>
  <c r="Q132" i="1" s="1"/>
  <c r="P133" i="1"/>
  <c r="S133" i="1" s="1"/>
  <c r="P134" i="1"/>
  <c r="Q134" i="1" s="1"/>
  <c r="P135" i="1"/>
  <c r="P136" i="1"/>
  <c r="P137" i="1"/>
  <c r="P138" i="1"/>
  <c r="P139" i="1"/>
  <c r="P140" i="1"/>
  <c r="P141" i="1"/>
  <c r="P142" i="1"/>
  <c r="P143" i="1"/>
  <c r="Q143" i="1" s="1"/>
  <c r="P144" i="1"/>
  <c r="Q144" i="1" s="1"/>
  <c r="P145" i="1"/>
  <c r="S145" i="1" s="1"/>
  <c r="P146" i="1"/>
  <c r="Q146" i="1" s="1"/>
  <c r="P147" i="1"/>
  <c r="S147" i="1" s="1"/>
  <c r="P148" i="1"/>
  <c r="S148" i="1" s="1"/>
  <c r="P149" i="1"/>
  <c r="S149" i="1" s="1"/>
  <c r="P150" i="1"/>
  <c r="P151" i="1"/>
  <c r="P152" i="1"/>
  <c r="P153" i="1"/>
  <c r="P154" i="1"/>
  <c r="P155" i="1"/>
  <c r="P156" i="1"/>
  <c r="P157" i="1"/>
  <c r="P158" i="1"/>
  <c r="P159" i="1"/>
  <c r="Q159" i="1" s="1"/>
  <c r="P160" i="1"/>
  <c r="Q160" i="1" s="1"/>
  <c r="P161" i="1"/>
  <c r="S161" i="1" s="1"/>
  <c r="P162" i="1"/>
  <c r="P2" i="1"/>
  <c r="S2" i="1" s="1"/>
  <c r="Q4" i="1"/>
  <c r="Q6" i="1"/>
  <c r="Q7" i="1"/>
  <c r="Q8" i="1"/>
  <c r="S9" i="1"/>
  <c r="S10" i="1"/>
  <c r="Q11" i="1"/>
  <c r="Q12" i="1"/>
  <c r="Q13" i="1"/>
  <c r="Q14" i="1"/>
  <c r="Q15" i="1"/>
  <c r="Q16" i="1"/>
  <c r="Q17" i="1"/>
  <c r="S18" i="1"/>
  <c r="Q18" i="1"/>
  <c r="Q23" i="1"/>
  <c r="Q24" i="1"/>
  <c r="Q25" i="1"/>
  <c r="S26" i="1"/>
  <c r="Q26" i="1"/>
  <c r="Q27" i="1"/>
  <c r="Q28" i="1"/>
  <c r="Q29" i="1"/>
  <c r="Q30" i="1"/>
  <c r="Q31" i="1"/>
  <c r="Q32" i="1"/>
  <c r="S33" i="1"/>
  <c r="Q38" i="1"/>
  <c r="Q39" i="1"/>
  <c r="Q40" i="1"/>
  <c r="Q41" i="1"/>
  <c r="S42" i="1"/>
  <c r="Q42" i="1"/>
  <c r="Q43" i="1"/>
  <c r="Q44" i="1"/>
  <c r="Q45" i="1"/>
  <c r="Q46" i="1"/>
  <c r="Q47" i="1"/>
  <c r="Q54" i="1"/>
  <c r="Q55" i="1"/>
  <c r="Q56" i="1"/>
  <c r="Q57" i="1"/>
  <c r="S58" i="1"/>
  <c r="Q58" i="1"/>
  <c r="Q59" i="1"/>
  <c r="Q60" i="1"/>
  <c r="Q61" i="1"/>
  <c r="Q62" i="1"/>
  <c r="Q66" i="1"/>
  <c r="Q68" i="1"/>
  <c r="Q70" i="1"/>
  <c r="Q71" i="1"/>
  <c r="Q72" i="1"/>
  <c r="Q73" i="1"/>
  <c r="S74" i="1"/>
  <c r="Q74" i="1"/>
  <c r="Q75" i="1"/>
  <c r="Q76" i="1"/>
  <c r="Q77" i="1"/>
  <c r="Q78" i="1"/>
  <c r="Q79" i="1"/>
  <c r="S82" i="1"/>
  <c r="Q82" i="1"/>
  <c r="Q84" i="1"/>
  <c r="Q86" i="1"/>
  <c r="Q87" i="1"/>
  <c r="Q88" i="1"/>
  <c r="Q89" i="1"/>
  <c r="S90" i="1"/>
  <c r="Q90" i="1"/>
  <c r="Q91" i="1"/>
  <c r="Q92" i="1"/>
  <c r="Q93" i="1"/>
  <c r="Q94" i="1"/>
  <c r="Q95" i="1"/>
  <c r="Q96" i="1"/>
  <c r="S97" i="1"/>
  <c r="S98" i="1"/>
  <c r="Q98" i="1"/>
  <c r="Q99" i="1"/>
  <c r="Q100" i="1"/>
  <c r="Q103" i="1"/>
  <c r="Q104" i="1"/>
  <c r="Q105" i="1"/>
  <c r="S106" i="1"/>
  <c r="Q106" i="1"/>
  <c r="Q107" i="1"/>
  <c r="Q108" i="1"/>
  <c r="Q109" i="1"/>
  <c r="Q110" i="1"/>
  <c r="Q111" i="1"/>
  <c r="Q112" i="1"/>
  <c r="Q113" i="1"/>
  <c r="S114" i="1"/>
  <c r="Q119" i="1"/>
  <c r="Q120" i="1"/>
  <c r="Q121" i="1"/>
  <c r="S122" i="1"/>
  <c r="Q122" i="1"/>
  <c r="Q123" i="1"/>
  <c r="Q124" i="1"/>
  <c r="Q125" i="1"/>
  <c r="Q126" i="1"/>
  <c r="Q127" i="1"/>
  <c r="Q128" i="1"/>
  <c r="S130" i="1"/>
  <c r="Q135" i="1"/>
  <c r="Q136" i="1"/>
  <c r="Q137" i="1"/>
  <c r="S138" i="1"/>
  <c r="Q138" i="1"/>
  <c r="Q139" i="1"/>
  <c r="Q140" i="1"/>
  <c r="Q141" i="1"/>
  <c r="Q142" i="1"/>
  <c r="S146" i="1"/>
  <c r="Q148" i="1"/>
  <c r="Q150" i="1"/>
  <c r="Q151" i="1"/>
  <c r="Q152" i="1"/>
  <c r="Q153" i="1"/>
  <c r="S154" i="1"/>
  <c r="Q154" i="1"/>
  <c r="Q155" i="1"/>
  <c r="Q156" i="1"/>
  <c r="Q157" i="1"/>
  <c r="Q158" i="1"/>
  <c r="S162" i="1"/>
  <c r="Q162" i="1"/>
  <c r="Q2" i="1"/>
  <c r="S4" i="1"/>
  <c r="S6" i="1"/>
  <c r="S7" i="1"/>
  <c r="S8" i="1"/>
  <c r="S11" i="1"/>
  <c r="S12" i="1"/>
  <c r="S13" i="1"/>
  <c r="S14" i="1"/>
  <c r="S15" i="1"/>
  <c r="S16" i="1"/>
  <c r="S20" i="1"/>
  <c r="S22" i="1"/>
  <c r="S23" i="1"/>
  <c r="S24" i="1"/>
  <c r="S25" i="1"/>
  <c r="S27" i="1"/>
  <c r="S28" i="1"/>
  <c r="S29" i="1"/>
  <c r="S30" i="1"/>
  <c r="S31" i="1"/>
  <c r="S32" i="1"/>
  <c r="S36" i="1"/>
  <c r="S38" i="1"/>
  <c r="S39" i="1"/>
  <c r="S40" i="1"/>
  <c r="S41" i="1"/>
  <c r="S43" i="1"/>
  <c r="S44" i="1"/>
  <c r="S45" i="1"/>
  <c r="S46" i="1"/>
  <c r="S47" i="1"/>
  <c r="S48" i="1"/>
  <c r="S52" i="1"/>
  <c r="S54" i="1"/>
  <c r="S55" i="1"/>
  <c r="S56" i="1"/>
  <c r="S57" i="1"/>
  <c r="S59" i="1"/>
  <c r="S60" i="1"/>
  <c r="S61" i="1"/>
  <c r="S62" i="1"/>
  <c r="S63" i="1"/>
  <c r="S64" i="1"/>
  <c r="S67" i="1"/>
  <c r="S68" i="1"/>
  <c r="S70" i="1"/>
  <c r="S71" i="1"/>
  <c r="S72" i="1"/>
  <c r="S73" i="1"/>
  <c r="S75" i="1"/>
  <c r="S76" i="1"/>
  <c r="S77" i="1"/>
  <c r="S78" i="1"/>
  <c r="S79" i="1"/>
  <c r="S80" i="1"/>
  <c r="S84" i="1"/>
  <c r="S86" i="1"/>
  <c r="S87" i="1"/>
  <c r="S88" i="1"/>
  <c r="S89" i="1"/>
  <c r="S91" i="1"/>
  <c r="S92" i="1"/>
  <c r="S93" i="1"/>
  <c r="S94" i="1"/>
  <c r="S95" i="1"/>
  <c r="S96" i="1"/>
  <c r="S100" i="1"/>
  <c r="S102" i="1"/>
  <c r="S103" i="1"/>
  <c r="S104" i="1"/>
  <c r="S105" i="1"/>
  <c r="S107" i="1"/>
  <c r="S108" i="1"/>
  <c r="S109" i="1"/>
  <c r="S110" i="1"/>
  <c r="S111" i="1"/>
  <c r="S116" i="1"/>
  <c r="S118" i="1"/>
  <c r="S119" i="1"/>
  <c r="S120" i="1"/>
  <c r="S121" i="1"/>
  <c r="S123" i="1"/>
  <c r="S124" i="1"/>
  <c r="S125" i="1"/>
  <c r="S126" i="1"/>
  <c r="S127" i="1"/>
  <c r="S132" i="1"/>
  <c r="S134" i="1"/>
  <c r="S135" i="1"/>
  <c r="S136" i="1"/>
  <c r="S137" i="1"/>
  <c r="S139" i="1"/>
  <c r="S140" i="1"/>
  <c r="S141" i="1"/>
  <c r="S142" i="1"/>
  <c r="S143" i="1"/>
  <c r="S144" i="1"/>
  <c r="S150" i="1"/>
  <c r="S151" i="1"/>
  <c r="S152" i="1"/>
  <c r="S153" i="1"/>
  <c r="S155" i="1"/>
  <c r="S156" i="1"/>
  <c r="S157" i="1"/>
  <c r="S158" i="1"/>
  <c r="S159" i="1"/>
  <c r="S160" i="1"/>
  <c r="O3" i="1"/>
  <c r="O4" i="1"/>
  <c r="O5" i="1"/>
  <c r="O6" i="1"/>
  <c r="O7" i="1"/>
  <c r="O8" i="1"/>
  <c r="Y8" i="1" s="1"/>
  <c r="O9" i="1"/>
  <c r="O10" i="1"/>
  <c r="O11" i="1"/>
  <c r="U11" i="1" s="1"/>
  <c r="O12" i="1"/>
  <c r="O13" i="1"/>
  <c r="O14" i="1"/>
  <c r="Y14" i="1" s="1"/>
  <c r="O15" i="1"/>
  <c r="Y15" i="1" s="1"/>
  <c r="O16" i="1"/>
  <c r="O17" i="1"/>
  <c r="O18" i="1"/>
  <c r="O19" i="1"/>
  <c r="O20" i="1"/>
  <c r="Y20" i="1" s="1"/>
  <c r="O21" i="1"/>
  <c r="O22" i="1"/>
  <c r="Y22" i="1" s="1"/>
  <c r="O23" i="1"/>
  <c r="O24" i="1"/>
  <c r="O25" i="1"/>
  <c r="O26" i="1"/>
  <c r="O27" i="1"/>
  <c r="O28" i="1"/>
  <c r="O29" i="1"/>
  <c r="O30" i="1"/>
  <c r="Y30" i="1" s="1"/>
  <c r="O31" i="1"/>
  <c r="Y31" i="1" s="1"/>
  <c r="O32" i="1"/>
  <c r="O33" i="1"/>
  <c r="O34" i="1"/>
  <c r="O35" i="1"/>
  <c r="O36" i="1"/>
  <c r="O37" i="1"/>
  <c r="O38" i="1"/>
  <c r="Y38" i="1" s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U52" i="1" s="1"/>
  <c r="O53" i="1"/>
  <c r="O54" i="1"/>
  <c r="Y54" i="1" s="1"/>
  <c r="O55" i="1"/>
  <c r="Y55" i="1" s="1"/>
  <c r="O56" i="1"/>
  <c r="Y56" i="1" s="1"/>
  <c r="O57" i="1"/>
  <c r="O58" i="1"/>
  <c r="O59" i="1"/>
  <c r="O60" i="1"/>
  <c r="O61" i="1"/>
  <c r="O62" i="1"/>
  <c r="O63" i="1"/>
  <c r="O64" i="1"/>
  <c r="O65" i="1"/>
  <c r="O66" i="1"/>
  <c r="O67" i="1"/>
  <c r="O68" i="1"/>
  <c r="Y68" i="1" s="1"/>
  <c r="O69" i="1"/>
  <c r="O70" i="1"/>
  <c r="Y70" i="1" s="1"/>
  <c r="O71" i="1"/>
  <c r="Y71" i="1" s="1"/>
  <c r="O72" i="1"/>
  <c r="Y72" i="1" s="1"/>
  <c r="O73" i="1"/>
  <c r="O74" i="1"/>
  <c r="O75" i="1"/>
  <c r="U75" i="1" s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Y88" i="1" s="1"/>
  <c r="O89" i="1"/>
  <c r="O90" i="1"/>
  <c r="O91" i="1"/>
  <c r="O92" i="1"/>
  <c r="O93" i="1"/>
  <c r="O94" i="1"/>
  <c r="Y94" i="1" s="1"/>
  <c r="O95" i="1"/>
  <c r="Y95" i="1" s="1"/>
  <c r="O96" i="1"/>
  <c r="O97" i="1"/>
  <c r="O98" i="1"/>
  <c r="O99" i="1"/>
  <c r="O100" i="1"/>
  <c r="Y100" i="1" s="1"/>
  <c r="O101" i="1"/>
  <c r="O102" i="1"/>
  <c r="Y102" i="1" s="1"/>
  <c r="O103" i="1"/>
  <c r="O104" i="1"/>
  <c r="O105" i="1"/>
  <c r="O106" i="1"/>
  <c r="O107" i="1"/>
  <c r="O108" i="1"/>
  <c r="O109" i="1"/>
  <c r="O110" i="1"/>
  <c r="Y110" i="1" s="1"/>
  <c r="O111" i="1"/>
  <c r="Y111" i="1" s="1"/>
  <c r="O112" i="1"/>
  <c r="O113" i="1"/>
  <c r="O114" i="1"/>
  <c r="O115" i="1"/>
  <c r="O116" i="1"/>
  <c r="O117" i="1"/>
  <c r="O118" i="1"/>
  <c r="Y118" i="1" s="1"/>
  <c r="O119" i="1"/>
  <c r="O120" i="1"/>
  <c r="O121" i="1"/>
  <c r="O122" i="1"/>
  <c r="O123" i="1"/>
  <c r="O124" i="1"/>
  <c r="O125" i="1"/>
  <c r="O126" i="1"/>
  <c r="O127" i="1"/>
  <c r="Y127" i="1" s="1"/>
  <c r="O128" i="1"/>
  <c r="O129" i="1"/>
  <c r="O130" i="1"/>
  <c r="O131" i="1"/>
  <c r="O132" i="1"/>
  <c r="O133" i="1"/>
  <c r="O134" i="1"/>
  <c r="Y134" i="1" s="1"/>
  <c r="O135" i="1"/>
  <c r="Y135" i="1" s="1"/>
  <c r="O136" i="1"/>
  <c r="Y136" i="1" s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Y150" i="1" s="1"/>
  <c r="O151" i="1"/>
  <c r="Y151" i="1" s="1"/>
  <c r="O152" i="1"/>
  <c r="Y152" i="1" s="1"/>
  <c r="O153" i="1"/>
  <c r="O154" i="1"/>
  <c r="O155" i="1"/>
  <c r="Y155" i="1" s="1"/>
  <c r="O156" i="1"/>
  <c r="O157" i="1"/>
  <c r="O158" i="1"/>
  <c r="O159" i="1"/>
  <c r="O160" i="1"/>
  <c r="O161" i="1"/>
  <c r="O162" i="1"/>
  <c r="O2" i="1"/>
  <c r="B163" i="1"/>
  <c r="S83" i="1" l="1"/>
  <c r="S3" i="1"/>
  <c r="U53" i="1"/>
  <c r="Q149" i="1"/>
  <c r="U85" i="1"/>
  <c r="S101" i="1"/>
  <c r="U101" i="1" s="1"/>
  <c r="S21" i="1"/>
  <c r="U21" i="1" s="1"/>
  <c r="Y159" i="1"/>
  <c r="Q81" i="1"/>
  <c r="Y62" i="1"/>
  <c r="Y46" i="1"/>
  <c r="S117" i="1"/>
  <c r="U117" i="1" s="1"/>
  <c r="S19" i="1"/>
  <c r="Y19" i="1" s="1"/>
  <c r="Q161" i="1"/>
  <c r="Q147" i="1"/>
  <c r="Q53" i="1"/>
  <c r="Y79" i="1"/>
  <c r="Y126" i="1"/>
  <c r="Y78" i="1"/>
  <c r="Y157" i="1"/>
  <c r="S37" i="1"/>
  <c r="Q133" i="1"/>
  <c r="U5" i="1"/>
  <c r="Y142" i="1"/>
  <c r="S115" i="1"/>
  <c r="Y115" i="1" s="1"/>
  <c r="Q65" i="1"/>
  <c r="Q51" i="1"/>
  <c r="U149" i="1"/>
  <c r="Q69" i="1"/>
  <c r="Y47" i="1"/>
  <c r="Y139" i="1"/>
  <c r="Y107" i="1"/>
  <c r="U43" i="1"/>
  <c r="U27" i="1"/>
  <c r="S35" i="1"/>
  <c r="Q145" i="1"/>
  <c r="Q131" i="1"/>
  <c r="Q50" i="1"/>
  <c r="Y123" i="1"/>
  <c r="Y59" i="1"/>
  <c r="Y143" i="1"/>
  <c r="Y158" i="1"/>
  <c r="Q49" i="1"/>
  <c r="U69" i="1"/>
  <c r="Y63" i="1"/>
  <c r="Y120" i="1"/>
  <c r="Y104" i="1"/>
  <c r="Y40" i="1"/>
  <c r="Y24" i="1"/>
  <c r="Q129" i="1"/>
  <c r="Q34" i="1"/>
  <c r="U133" i="1"/>
  <c r="U37" i="1"/>
  <c r="Y119" i="1"/>
  <c r="Y103" i="1"/>
  <c r="Y87" i="1"/>
  <c r="Y39" i="1"/>
  <c r="Y23" i="1"/>
  <c r="Y7" i="1"/>
  <c r="Y86" i="1"/>
  <c r="Q5" i="1"/>
  <c r="Y148" i="1"/>
  <c r="Y84" i="1"/>
  <c r="S85" i="1"/>
  <c r="Q10" i="1"/>
  <c r="Q9" i="1"/>
  <c r="U156" i="1"/>
  <c r="U140" i="1"/>
  <c r="U124" i="1"/>
  <c r="Y108" i="1"/>
  <c r="U92" i="1"/>
  <c r="Y76" i="1"/>
  <c r="Y60" i="1"/>
  <c r="U44" i="1"/>
  <c r="Y28" i="1"/>
  <c r="Y12" i="1"/>
  <c r="Y10" i="1"/>
  <c r="Y154" i="1"/>
  <c r="Y138" i="1"/>
  <c r="Y122" i="1"/>
  <c r="Y106" i="1"/>
  <c r="Y90" i="1"/>
  <c r="Y74" i="1"/>
  <c r="Y58" i="1"/>
  <c r="Y42" i="1"/>
  <c r="Y26" i="1"/>
  <c r="Y153" i="1"/>
  <c r="Y137" i="1"/>
  <c r="Y121" i="1"/>
  <c r="Y105" i="1"/>
  <c r="Y89" i="1"/>
  <c r="Y73" i="1"/>
  <c r="Y57" i="1"/>
  <c r="Y41" i="1"/>
  <c r="Y25" i="1"/>
  <c r="Y9" i="1"/>
  <c r="Y36" i="1"/>
  <c r="Y144" i="1"/>
  <c r="Y128" i="1"/>
  <c r="Y112" i="1"/>
  <c r="Y96" i="1"/>
  <c r="Y80" i="1"/>
  <c r="Y64" i="1"/>
  <c r="Y48" i="1"/>
  <c r="Y32" i="1"/>
  <c r="Y16" i="1"/>
  <c r="Y6" i="1"/>
  <c r="U147" i="1"/>
  <c r="Y131" i="1"/>
  <c r="Y99" i="1"/>
  <c r="Y83" i="1"/>
  <c r="Y67" i="1"/>
  <c r="U51" i="1"/>
  <c r="Y35" i="1"/>
  <c r="U3" i="1"/>
  <c r="Y113" i="1"/>
  <c r="Y97" i="1"/>
  <c r="Y81" i="1"/>
  <c r="Y65" i="1"/>
  <c r="Y49" i="1"/>
  <c r="Y33" i="1"/>
  <c r="Y91" i="1"/>
  <c r="Y146" i="1"/>
  <c r="Y130" i="1"/>
  <c r="Y114" i="1"/>
  <c r="U98" i="1"/>
  <c r="Y82" i="1"/>
  <c r="Y66" i="1"/>
  <c r="U50" i="1"/>
  <c r="Y34" i="1"/>
  <c r="Y18" i="1"/>
  <c r="Y92" i="1"/>
  <c r="Y85" i="1"/>
  <c r="Y50" i="1"/>
  <c r="Y44" i="1"/>
  <c r="U112" i="1"/>
  <c r="U111" i="1"/>
  <c r="U95" i="1"/>
  <c r="U79" i="1"/>
  <c r="U4" i="1"/>
  <c r="Y4" i="1"/>
  <c r="Y69" i="1"/>
  <c r="U110" i="1"/>
  <c r="Y53" i="1"/>
  <c r="Y52" i="1"/>
  <c r="U80" i="1"/>
  <c r="U78" i="1"/>
  <c r="Y43" i="1"/>
  <c r="U68" i="1"/>
  <c r="Y37" i="1"/>
  <c r="U63" i="1"/>
  <c r="Y156" i="1"/>
  <c r="Y21" i="1"/>
  <c r="Y149" i="1"/>
  <c r="Y11" i="1"/>
  <c r="U46" i="1"/>
  <c r="Y140" i="1"/>
  <c r="Y5" i="1"/>
  <c r="U36" i="1"/>
  <c r="Y133" i="1"/>
  <c r="U34" i="1"/>
  <c r="U159" i="1"/>
  <c r="U31" i="1"/>
  <c r="Y101" i="1"/>
  <c r="U143" i="1"/>
  <c r="U18" i="1"/>
  <c r="Y98" i="1"/>
  <c r="U114" i="1"/>
  <c r="U15" i="1"/>
  <c r="Y132" i="1"/>
  <c r="U132" i="1"/>
  <c r="Y17" i="1"/>
  <c r="U17" i="1"/>
  <c r="Y116" i="1"/>
  <c r="U116" i="1"/>
  <c r="Y145" i="1"/>
  <c r="U145" i="1"/>
  <c r="Y129" i="1"/>
  <c r="U129" i="1"/>
  <c r="U148" i="1"/>
  <c r="Y51" i="1"/>
  <c r="U146" i="1"/>
  <c r="U35" i="1"/>
  <c r="Y147" i="1"/>
  <c r="U144" i="1"/>
  <c r="U33" i="1"/>
  <c r="U100" i="1"/>
  <c r="U66" i="1"/>
  <c r="U32" i="1"/>
  <c r="U113" i="1"/>
  <c r="U67" i="1"/>
  <c r="U142" i="1"/>
  <c r="U99" i="1"/>
  <c r="U65" i="1"/>
  <c r="U64" i="1"/>
  <c r="U30" i="1"/>
  <c r="U131" i="1"/>
  <c r="U97" i="1"/>
  <c r="U20" i="1"/>
  <c r="U130" i="1"/>
  <c r="U96" i="1"/>
  <c r="U62" i="1"/>
  <c r="Y3" i="1"/>
  <c r="U128" i="1"/>
  <c r="U94" i="1"/>
  <c r="U2" i="1"/>
  <c r="U127" i="1"/>
  <c r="U84" i="1"/>
  <c r="U16" i="1"/>
  <c r="Y125" i="1"/>
  <c r="U125" i="1"/>
  <c r="U126" i="1"/>
  <c r="U83" i="1"/>
  <c r="U49" i="1"/>
  <c r="Y141" i="1"/>
  <c r="U141" i="1"/>
  <c r="Y109" i="1"/>
  <c r="U109" i="1"/>
  <c r="Y93" i="1"/>
  <c r="U93" i="1"/>
  <c r="Y77" i="1"/>
  <c r="U77" i="1"/>
  <c r="Y61" i="1"/>
  <c r="U61" i="1"/>
  <c r="Y45" i="1"/>
  <c r="U45" i="1"/>
  <c r="Y29" i="1"/>
  <c r="U29" i="1"/>
  <c r="Y13" i="1"/>
  <c r="U13" i="1"/>
  <c r="U158" i="1"/>
  <c r="U82" i="1"/>
  <c r="U48" i="1"/>
  <c r="U14" i="1"/>
  <c r="U157" i="1"/>
  <c r="U81" i="1"/>
  <c r="U47" i="1"/>
  <c r="U108" i="1"/>
  <c r="U76" i="1"/>
  <c r="U60" i="1"/>
  <c r="U12" i="1"/>
  <c r="Y75" i="1"/>
  <c r="U155" i="1"/>
  <c r="U91" i="1"/>
  <c r="Y124" i="1"/>
  <c r="Y27" i="1"/>
  <c r="U138" i="1"/>
  <c r="U122" i="1"/>
  <c r="U106" i="1"/>
  <c r="U74" i="1"/>
  <c r="U58" i="1"/>
  <c r="U42" i="1"/>
  <c r="U26" i="1"/>
  <c r="U153" i="1"/>
  <c r="U137" i="1"/>
  <c r="U121" i="1"/>
  <c r="U105" i="1"/>
  <c r="U89" i="1"/>
  <c r="U73" i="1"/>
  <c r="U57" i="1"/>
  <c r="U41" i="1"/>
  <c r="U25" i="1"/>
  <c r="U9" i="1"/>
  <c r="U152" i="1"/>
  <c r="U136" i="1"/>
  <c r="U120" i="1"/>
  <c r="U104" i="1"/>
  <c r="U88" i="1"/>
  <c r="U72" i="1"/>
  <c r="U56" i="1"/>
  <c r="U40" i="1"/>
  <c r="U24" i="1"/>
  <c r="U8" i="1"/>
  <c r="U151" i="1"/>
  <c r="U135" i="1"/>
  <c r="U119" i="1"/>
  <c r="U103" i="1"/>
  <c r="U87" i="1"/>
  <c r="U71" i="1"/>
  <c r="U55" i="1"/>
  <c r="U39" i="1"/>
  <c r="U23" i="1"/>
  <c r="U7" i="1"/>
  <c r="U150" i="1"/>
  <c r="U134" i="1"/>
  <c r="U118" i="1"/>
  <c r="U102" i="1"/>
  <c r="U86" i="1"/>
  <c r="U70" i="1"/>
  <c r="U54" i="1"/>
  <c r="U38" i="1"/>
  <c r="U22" i="1"/>
  <c r="U6" i="1"/>
  <c r="U28" i="1"/>
  <c r="U139" i="1"/>
  <c r="U123" i="1"/>
  <c r="U107" i="1"/>
  <c r="U59" i="1"/>
  <c r="U154" i="1"/>
  <c r="U90" i="1"/>
  <c r="U10" i="1"/>
  <c r="Y117" i="1" l="1"/>
  <c r="U115" i="1"/>
  <c r="U19" i="1"/>
</calcChain>
</file>

<file path=xl/sharedStrings.xml><?xml version="1.0" encoding="utf-8"?>
<sst xmlns="http://schemas.openxmlformats.org/spreadsheetml/2006/main" count="677" uniqueCount="513">
  <si>
    <t>Position_Key</t>
  </si>
  <si>
    <t>Intersect_Z</t>
  </si>
  <si>
    <t>Intersect_X</t>
  </si>
  <si>
    <t>Status</t>
  </si>
  <si>
    <t>m1_lens</t>
  </si>
  <si>
    <t>c1_lens</t>
  </si>
  <si>
    <t>m2_no_lens</t>
  </si>
  <si>
    <t>c2_no_lens</t>
  </si>
  <si>
    <t>File1_Original_Name</t>
  </si>
  <si>
    <t>File2_Original_Name</t>
  </si>
  <si>
    <t>X_0.000mm</t>
  </si>
  <si>
    <t>X_0.025mm</t>
  </si>
  <si>
    <t>X_0.050mm</t>
  </si>
  <si>
    <t>X_0.075mm</t>
  </si>
  <si>
    <t>X_0.100mm</t>
  </si>
  <si>
    <t>X_0.125mm</t>
  </si>
  <si>
    <t>X_0.150mm</t>
  </si>
  <si>
    <t>X_0.175mm</t>
  </si>
  <si>
    <t>X_0.200mm</t>
  </si>
  <si>
    <t>X_0.225mm</t>
  </si>
  <si>
    <t>X_0.250mm</t>
  </si>
  <si>
    <t>X_0.275mm</t>
  </si>
  <si>
    <t>X_0.300mm</t>
  </si>
  <si>
    <t>X_0.325mm</t>
  </si>
  <si>
    <t>X_0.350mm</t>
  </si>
  <si>
    <t>X_0.375mm</t>
  </si>
  <si>
    <t>X_0.400mm</t>
  </si>
  <si>
    <t>X_0.425mm</t>
  </si>
  <si>
    <t>X_0.450mm</t>
  </si>
  <si>
    <t>X_0.475mm</t>
  </si>
  <si>
    <t>X_0.500mm</t>
  </si>
  <si>
    <t>X_0.525mm</t>
  </si>
  <si>
    <t>X_0.550mm</t>
  </si>
  <si>
    <t>X_0.575mm</t>
  </si>
  <si>
    <t>X_0.600mm</t>
  </si>
  <si>
    <t>X_0.625mm</t>
  </si>
  <si>
    <t>X_0.650mm</t>
  </si>
  <si>
    <t>X_0.675mm</t>
  </si>
  <si>
    <t>X_0.700mm</t>
  </si>
  <si>
    <t>X_0.725mm</t>
  </si>
  <si>
    <t>X_0.750mm</t>
  </si>
  <si>
    <t>X_0.775mm</t>
  </si>
  <si>
    <t>X_0.800mm</t>
  </si>
  <si>
    <t>X_0.825mm</t>
  </si>
  <si>
    <t>X_0.850mm</t>
  </si>
  <si>
    <t>X_0.875mm</t>
  </si>
  <si>
    <t>X_0.900mm</t>
  </si>
  <si>
    <t>X_0.925mm</t>
  </si>
  <si>
    <t>X_0.950mm</t>
  </si>
  <si>
    <t>X_0.975mm</t>
  </si>
  <si>
    <t>X_1.000mm</t>
  </si>
  <si>
    <t>X_1.025mm</t>
  </si>
  <si>
    <t>X_1.050mm</t>
  </si>
  <si>
    <t>X_1.075mm</t>
  </si>
  <si>
    <t>X_1.100mm</t>
  </si>
  <si>
    <t>X_1.125mm</t>
  </si>
  <si>
    <t>X_1.150mm</t>
  </si>
  <si>
    <t>X_1.175mm</t>
  </si>
  <si>
    <t>X_1.200mm</t>
  </si>
  <si>
    <t>X_1.225mm</t>
  </si>
  <si>
    <t>X_1.250mm</t>
  </si>
  <si>
    <t>X_1.275mm</t>
  </si>
  <si>
    <t>X_1.300mm</t>
  </si>
  <si>
    <t>X_1.325mm</t>
  </si>
  <si>
    <t>X_1.350mm</t>
  </si>
  <si>
    <t>X_1.375mm</t>
  </si>
  <si>
    <t>X_1.400mm</t>
  </si>
  <si>
    <t>X_1.425mm</t>
  </si>
  <si>
    <t>X_1.450mm</t>
  </si>
  <si>
    <t>X_1.475mm</t>
  </si>
  <si>
    <t>X_1.500mm</t>
  </si>
  <si>
    <t>X_1.525mm</t>
  </si>
  <si>
    <t>X_1.550mm</t>
  </si>
  <si>
    <t>X_1.575mm</t>
  </si>
  <si>
    <t>X_1.600mm</t>
  </si>
  <si>
    <t>X_1.625mm</t>
  </si>
  <si>
    <t>X_1.650mm</t>
  </si>
  <si>
    <t>X_1.675mm</t>
  </si>
  <si>
    <t>X_1.700mm</t>
  </si>
  <si>
    <t>X_1.725mm</t>
  </si>
  <si>
    <t>X_1.750mm</t>
  </si>
  <si>
    <t>X_1.775mm</t>
  </si>
  <si>
    <t>X_1.800mm</t>
  </si>
  <si>
    <t>X_1.825mm</t>
  </si>
  <si>
    <t>X_1.850mm</t>
  </si>
  <si>
    <t>X_1.875mm</t>
  </si>
  <si>
    <t>X_1.900mm</t>
  </si>
  <si>
    <t>X_1.925mm</t>
  </si>
  <si>
    <t>X_1.950mm</t>
  </si>
  <si>
    <t>X_1.975mm</t>
  </si>
  <si>
    <t>X_2.000mm</t>
  </si>
  <si>
    <t>X_2.025mm</t>
  </si>
  <si>
    <t>X_2.050mm</t>
  </si>
  <si>
    <t>X_2.075mm</t>
  </si>
  <si>
    <t>X_2.100mm</t>
  </si>
  <si>
    <t>X_2.125mm</t>
  </si>
  <si>
    <t>X_2.150mm</t>
  </si>
  <si>
    <t>X_2.175mm</t>
  </si>
  <si>
    <t>X_2.200mm</t>
  </si>
  <si>
    <t>X_2.225mm</t>
  </si>
  <si>
    <t>X_2.250mm</t>
  </si>
  <si>
    <t>X_2.275mm</t>
  </si>
  <si>
    <t>X_2.300mm</t>
  </si>
  <si>
    <t>X_2.325mm</t>
  </si>
  <si>
    <t>X_2.350mm</t>
  </si>
  <si>
    <t>X_2.375mm</t>
  </si>
  <si>
    <t>X_2.400mm</t>
  </si>
  <si>
    <t>X_2.425mm</t>
  </si>
  <si>
    <t>X_2.450mm</t>
  </si>
  <si>
    <t>X_2.475mm</t>
  </si>
  <si>
    <t>X_2.500mm</t>
  </si>
  <si>
    <t>X_2.525mm</t>
  </si>
  <si>
    <t>X_2.550mm</t>
  </si>
  <si>
    <t>X_2.575mm</t>
  </si>
  <si>
    <t>X_2.600mm</t>
  </si>
  <si>
    <t>X_2.625mm</t>
  </si>
  <si>
    <t>X_2.650mm</t>
  </si>
  <si>
    <t>X_2.675mm</t>
  </si>
  <si>
    <t>X_2.700mm</t>
  </si>
  <si>
    <t>X_2.725mm</t>
  </si>
  <si>
    <t>X_2.750mm</t>
  </si>
  <si>
    <t>X_2.775mm</t>
  </si>
  <si>
    <t>X_2.800mm</t>
  </si>
  <si>
    <t>X_2.825mm</t>
  </si>
  <si>
    <t>X_2.850mm</t>
  </si>
  <si>
    <t>X_2.875mm</t>
  </si>
  <si>
    <t>X_2.900mm</t>
  </si>
  <si>
    <t>X_2.925mm</t>
  </si>
  <si>
    <t>X_2.950mm</t>
  </si>
  <si>
    <t>X_2.975mm</t>
  </si>
  <si>
    <t>X_3.000mm</t>
  </si>
  <si>
    <t>X_3.025mm</t>
  </si>
  <si>
    <t>X_3.050mm</t>
  </si>
  <si>
    <t>X_3.075mm</t>
  </si>
  <si>
    <t>X_3.100mm</t>
  </si>
  <si>
    <t>X_3.125mm</t>
  </si>
  <si>
    <t>X_3.150mm</t>
  </si>
  <si>
    <t>X_3.175mm</t>
  </si>
  <si>
    <t>X_3.200mm</t>
  </si>
  <si>
    <t>X_3.225mm</t>
  </si>
  <si>
    <t>X_3.250mm</t>
  </si>
  <si>
    <t>X_3.275mm</t>
  </si>
  <si>
    <t>X_3.300mm</t>
  </si>
  <si>
    <t>X_3.325mm</t>
  </si>
  <si>
    <t>X_3.350mm</t>
  </si>
  <si>
    <t>X_3.375mm</t>
  </si>
  <si>
    <t>X_3.400mm</t>
  </si>
  <si>
    <t>X_3.425mm</t>
  </si>
  <si>
    <t>X_3.450mm</t>
  </si>
  <si>
    <t>X_3.475mm</t>
  </si>
  <si>
    <t>X_3.500mm</t>
  </si>
  <si>
    <t>X_3.525mm</t>
  </si>
  <si>
    <t>X_3.550mm</t>
  </si>
  <si>
    <t>X_3.575mm</t>
  </si>
  <si>
    <t>X_3.600mm</t>
  </si>
  <si>
    <t>X_3.625mm</t>
  </si>
  <si>
    <t>X_3.650mm</t>
  </si>
  <si>
    <t>X_3.675mm</t>
  </si>
  <si>
    <t>X_3.700mm</t>
  </si>
  <si>
    <t>X_3.725mm</t>
  </si>
  <si>
    <t>X_3.750mm</t>
  </si>
  <si>
    <t>X_3.775mm</t>
  </si>
  <si>
    <t>X_3.800mm</t>
  </si>
  <si>
    <t>X_3.825mm</t>
  </si>
  <si>
    <t>X_3.850mm</t>
  </si>
  <si>
    <t>X_3.875mm</t>
  </si>
  <si>
    <t>X_3.900mm</t>
  </si>
  <si>
    <t>X_3.925mm</t>
  </si>
  <si>
    <t>X_3.950mm</t>
  </si>
  <si>
    <t>X_3.975mm</t>
  </si>
  <si>
    <t>X_4.000mm</t>
  </si>
  <si>
    <t>計算成功 (Success)</t>
  </si>
  <si>
    <t>20251107_155159_X_0.000mm_report.xlsx</t>
  </si>
  <si>
    <t>20251107_155505_X_0.025mm_report.xlsx</t>
  </si>
  <si>
    <t>20251107_155855_X_0.050mm_report.xlsx</t>
  </si>
  <si>
    <t>20251107_160206_X_0.075mm_report.xlsx</t>
  </si>
  <si>
    <t>20251107_160529_X_0.100mm_report.xlsx</t>
  </si>
  <si>
    <t>20251107_160847_X_0.125mm_report.xlsx</t>
  </si>
  <si>
    <t>20251107_161146_X_0.150mm_report.xlsx</t>
  </si>
  <si>
    <t>20251107_161535_X_0.175mm_report.xlsx</t>
  </si>
  <si>
    <t>20251107_161815_X_0.200mm_report.xlsx</t>
  </si>
  <si>
    <t>20251107_162118_X_0.225mm_report.xlsx</t>
  </si>
  <si>
    <t>20251107_162452_X_0.250mm_report.xlsx</t>
  </si>
  <si>
    <t>20251107_162811_X_0.275mm_report.xlsx</t>
  </si>
  <si>
    <t>20251107_163113_X_0.300mm_report.xlsx</t>
  </si>
  <si>
    <t>20251107_163410_X_0.325mm_report.xlsx</t>
  </si>
  <si>
    <t>20251107_163702_X_0.350mm_report.xlsx</t>
  </si>
  <si>
    <t>20251107_164005_X_0.375mm_report.xlsx</t>
  </si>
  <si>
    <t>20251107_164258_X_0.400mm_report.xlsx</t>
  </si>
  <si>
    <t>20251107_164616_X_0.425mm_report.xlsx</t>
  </si>
  <si>
    <t>20251107_164905_X_0.450mm_report.xlsx</t>
  </si>
  <si>
    <t>20251107_165151_X_0.475mm_report.xlsx</t>
  </si>
  <si>
    <t>20251107_165442_X_0.500mm_report.xlsx</t>
  </si>
  <si>
    <t>20251107_165734_X_0.525mm_report.xlsx</t>
  </si>
  <si>
    <t>20251107_170028_X_0.550mm_report.xlsx</t>
  </si>
  <si>
    <t>20251107_170319_X_0.575mm_report.xlsx</t>
  </si>
  <si>
    <t>20251107_170612_X_0.600mm_report.xlsx</t>
  </si>
  <si>
    <t>20251107_170858_X_0.625mm_report.xlsx</t>
  </si>
  <si>
    <t>20251107_171146_X_0.650mm_report.xlsx</t>
  </si>
  <si>
    <t>20251107_171432_X_0.675mm_report.xlsx</t>
  </si>
  <si>
    <t>20251107_171714_X_0.700mm_report.xlsx</t>
  </si>
  <si>
    <t>20251107_171953_X_0.725mm_report.xlsx</t>
  </si>
  <si>
    <t>20251107_172235_X_0.750mm_report.xlsx</t>
  </si>
  <si>
    <t>20251107_172515_X_0.775mm_report.xlsx</t>
  </si>
  <si>
    <t>20251107_172756_X_0.800mm_report.xlsx</t>
  </si>
  <si>
    <t>20251107_173033_X_0.825mm_report.xlsx</t>
  </si>
  <si>
    <t>20251107_173314_X_0.850mm_report.xlsx</t>
  </si>
  <si>
    <t>20251107_173539_X_0.875mm_report.xlsx</t>
  </si>
  <si>
    <t>20251107_173753_X_0.900mm_report.xlsx</t>
  </si>
  <si>
    <t>20251107_174018_X_0.925mm_report.xlsx</t>
  </si>
  <si>
    <t>20251107_174251_X_0.950mm_report.xlsx</t>
  </si>
  <si>
    <t>20251107_174532_X_0.975mm_report.xlsx</t>
  </si>
  <si>
    <t>20251107_174814_X_1.000mm_report.xlsx</t>
  </si>
  <si>
    <t>20251107_175054_X_1.025mm_report.xlsx</t>
  </si>
  <si>
    <t>20251107_175328_X_1.050mm_report.xlsx</t>
  </si>
  <si>
    <t>20251107_175602_X_1.075mm_report.xlsx</t>
  </si>
  <si>
    <t>20251107_175839_X_1.100mm_report.xlsx</t>
  </si>
  <si>
    <t>20251107_180117_X_1.125mm_report.xlsx</t>
  </si>
  <si>
    <t>20251107_180358_X_1.150mm_report.xlsx</t>
  </si>
  <si>
    <t>20251107_180628_X_1.175mm_report.xlsx</t>
  </si>
  <si>
    <t>20251107_180906_X_1.200mm_report.xlsx</t>
  </si>
  <si>
    <t>20251107_181132_X_1.225mm_report.xlsx</t>
  </si>
  <si>
    <t>20251107_181348_X_1.250mm_report.xlsx</t>
  </si>
  <si>
    <t>20251107_181617_X_1.275mm_report.xlsx</t>
  </si>
  <si>
    <t>20251107_181832_X_1.300mm_report.xlsx</t>
  </si>
  <si>
    <t>20251107_182059_X_1.325mm_report.xlsx</t>
  </si>
  <si>
    <t>20251107_182311_X_1.350mm_report.xlsx</t>
  </si>
  <si>
    <t>20251107_182523_X_1.375mm_report.xlsx</t>
  </si>
  <si>
    <t>20251107_182743_X_1.400mm_report.xlsx</t>
  </si>
  <si>
    <t>20251107_183005_X_1.425mm_report.xlsx</t>
  </si>
  <si>
    <t>20251107_183220_X_1.450mm_report.xlsx</t>
  </si>
  <si>
    <t>20251107_183421_X_1.475mm_report.xlsx</t>
  </si>
  <si>
    <t>20251107_183622_X_1.500mm_report.xlsx</t>
  </si>
  <si>
    <t>20251107_183830_X_1.525mm_report.xlsx</t>
  </si>
  <si>
    <t>20251107_184043_X_1.550mm_report.xlsx</t>
  </si>
  <si>
    <t>20251107_184306_X_1.575mm_report.xlsx</t>
  </si>
  <si>
    <t>20251107_184459_X_1.600mm_report.xlsx</t>
  </si>
  <si>
    <t>20251107_184717_X_1.625mm_report.xlsx</t>
  </si>
  <si>
    <t>20251107_184938_X_1.650mm_report.xlsx</t>
  </si>
  <si>
    <t>20251107_185200_X_1.675mm_report.xlsx</t>
  </si>
  <si>
    <t>20251107_185420_X_1.700mm_report.xlsx</t>
  </si>
  <si>
    <t>20251107_185633_X_1.725mm_report.xlsx</t>
  </si>
  <si>
    <t>20251107_185840_X_1.750mm_report.xlsx</t>
  </si>
  <si>
    <t>20251107_190053_X_1.775mm_report.xlsx</t>
  </si>
  <si>
    <t>20251107_190321_X_1.800mm_report.xlsx</t>
  </si>
  <si>
    <t>20251107_190533_X_1.825mm_report.xlsx</t>
  </si>
  <si>
    <t>20251107_190743_X_1.850mm_report.xlsx</t>
  </si>
  <si>
    <t>20251107_191005_X_1.875mm_report.xlsx</t>
  </si>
  <si>
    <t>20251107_191238_X_1.900mm_report.xlsx</t>
  </si>
  <si>
    <t>20251107_191502_X_1.925mm_report.xlsx</t>
  </si>
  <si>
    <t>20251107_191719_X_1.950mm_report.xlsx</t>
  </si>
  <si>
    <t>20251107_191942_X_1.975mm_report.xlsx</t>
  </si>
  <si>
    <t>20251107_192216_X_2.000mm_report.xlsx</t>
  </si>
  <si>
    <t>20251107_192500_X_2.025mm_report.xlsx</t>
  </si>
  <si>
    <t>20251107_192720_X_2.050mm_report.xlsx</t>
  </si>
  <si>
    <t>20251107_192948_X_2.075mm_report.xlsx</t>
  </si>
  <si>
    <t>20251107_193239_X_2.100mm_report.xlsx</t>
  </si>
  <si>
    <t>20251107_193530_X_2.125mm_report.xlsx</t>
  </si>
  <si>
    <t>20251107_193832_X_2.150mm_report.xlsx</t>
  </si>
  <si>
    <t>20251107_194110_X_2.175mm_report.xlsx</t>
  </si>
  <si>
    <t>20251107_194350_X_2.200mm_report.xlsx</t>
  </si>
  <si>
    <t>20251107_194633_X_2.225mm_report.xlsx</t>
  </si>
  <si>
    <t>20251107_194922_X_2.250mm_report.xlsx</t>
  </si>
  <si>
    <t>20251107_195209_X_2.275mm_report.xlsx</t>
  </si>
  <si>
    <t>20251107_195443_X_2.300mm_report.xlsx</t>
  </si>
  <si>
    <t>20251107_195741_X_2.325mm_report.xlsx</t>
  </si>
  <si>
    <t>20251107_200010_X_2.350mm_report.xlsx</t>
  </si>
  <si>
    <t>20251107_200240_X_2.375mm_report.xlsx</t>
  </si>
  <si>
    <t>20251107_200506_X_2.400mm_report.xlsx</t>
  </si>
  <si>
    <t>20251107_200731_X_2.425mm_report.xlsx</t>
  </si>
  <si>
    <t>20251107_200943_X_2.450mm_report.xlsx</t>
  </si>
  <si>
    <t>20251107_201150_X_2.475mm_report.xlsx</t>
  </si>
  <si>
    <t>20251107_201401_X_2.500mm_report.xlsx</t>
  </si>
  <si>
    <t>20251107_201629_X_2.525mm_report.xlsx</t>
  </si>
  <si>
    <t>20251107_201856_X_2.550mm_report.xlsx</t>
  </si>
  <si>
    <t>20251107_202120_X_2.575mm_report.xlsx</t>
  </si>
  <si>
    <t>20251107_202341_X_2.600mm_report.xlsx</t>
  </si>
  <si>
    <t>20251107_202552_X_2.625mm_report.xlsx</t>
  </si>
  <si>
    <t>20251107_202815_X_2.650mm_report.xlsx</t>
  </si>
  <si>
    <t>20251107_203020_X_2.675mm_report.xlsx</t>
  </si>
  <si>
    <t>20251107_203243_X_2.700mm_report.xlsx</t>
  </si>
  <si>
    <t>20251107_203512_X_2.725mm_report.xlsx</t>
  </si>
  <si>
    <t>20251107_203714_X_2.750mm_report.xlsx</t>
  </si>
  <si>
    <t>20251107_203940_X_2.775mm_report.xlsx</t>
  </si>
  <si>
    <t>20251107_204158_X_2.800mm_report.xlsx</t>
  </si>
  <si>
    <t>20251107_204408_X_2.825mm_report.xlsx</t>
  </si>
  <si>
    <t>20251107_204614_X_2.850mm_report.xlsx</t>
  </si>
  <si>
    <t>20251107_204829_X_2.875mm_report.xlsx</t>
  </si>
  <si>
    <t>20251107_205058_X_2.900mm_report.xlsx</t>
  </si>
  <si>
    <t>20251107_205324_X_2.925mm_report.xlsx</t>
  </si>
  <si>
    <t>20251107_205555_X_2.950mm_report.xlsx</t>
  </si>
  <si>
    <t>20251107_205824_X_2.975mm_report.xlsx</t>
  </si>
  <si>
    <t>20251107_210059_X_3.000mm_report.xlsx</t>
  </si>
  <si>
    <t>20251107_210318_X_3.025mm_report.xlsx</t>
  </si>
  <si>
    <t>20251107_210528_X_3.050mm_report.xlsx</t>
  </si>
  <si>
    <t>20251107_210743_X_3.075mm_report.xlsx</t>
  </si>
  <si>
    <t>20251107_211012_X_3.100mm_report.xlsx</t>
  </si>
  <si>
    <t>20251107_211241_X_3.125mm_report.xlsx</t>
  </si>
  <si>
    <t>20251107_211504_X_3.150mm_report.xlsx</t>
  </si>
  <si>
    <t>20251107_211729_X_3.175mm_report.xlsx</t>
  </si>
  <si>
    <t>20251107_211954_X_3.200mm_report.xlsx</t>
  </si>
  <si>
    <t>20251107_212204_X_3.225mm_report.xlsx</t>
  </si>
  <si>
    <t>20251107_212418_X_3.250mm_report.xlsx</t>
  </si>
  <si>
    <t>20251107_212647_X_3.275mm_report.xlsx</t>
  </si>
  <si>
    <t>20251107_212908_X_3.300mm_report.xlsx</t>
  </si>
  <si>
    <t>20251107_213112_X_3.325mm_report.xlsx</t>
  </si>
  <si>
    <t>20251107_213344_X_3.350mm_report.xlsx</t>
  </si>
  <si>
    <t>20251107_213605_X_3.375mm_report.xlsx</t>
  </si>
  <si>
    <t>20251107_213849_X_3.400mm_report.xlsx</t>
  </si>
  <si>
    <t>20251107_214118_X_3.425mm_report.xlsx</t>
  </si>
  <si>
    <t>20251107_214349_X_3.450mm_report.xlsx</t>
  </si>
  <si>
    <t>20251107_214610_X_3.475mm_report.xlsx</t>
  </si>
  <si>
    <t>20251107_214836_X_3.500mm_report.xlsx</t>
  </si>
  <si>
    <t>20251107_215112_X_3.525mm_report.xlsx</t>
  </si>
  <si>
    <t>20251107_215401_X_3.550mm_report.xlsx</t>
  </si>
  <si>
    <t>20251107_215640_X_3.575mm_report.xlsx</t>
  </si>
  <si>
    <t>20251107_215929_X_3.600mm_report.xlsx</t>
  </si>
  <si>
    <t>20251107_220201_X_3.625mm_report.xlsx</t>
  </si>
  <si>
    <t>20251107_220453_X_3.650mm_report.xlsx</t>
  </si>
  <si>
    <t>20251107_220733_X_3.675mm_report.xlsx</t>
  </si>
  <si>
    <t>20251107_221008_X_3.700mm_report.xlsx</t>
  </si>
  <si>
    <t>20251107_221247_X_3.725mm_report.xlsx</t>
  </si>
  <si>
    <t>20251107_221644_X_3.750mm_report.xlsx</t>
  </si>
  <si>
    <t>20251107_222023_X_3.775mm_report.xlsx</t>
  </si>
  <si>
    <t>20251107_222317_X_3.800mm_report.xlsx</t>
  </si>
  <si>
    <t>20251107_222642_X_3.825mm_report.xlsx</t>
  </si>
  <si>
    <t>20251107_222928_X_3.850mm_report.xlsx</t>
  </si>
  <si>
    <t>20251107_223247_X_3.875mm_report.xlsx</t>
  </si>
  <si>
    <t>20251107_223521_X_3.900mm_report.xlsx</t>
  </si>
  <si>
    <t>20251107_223734_X_3.925mm_report.xlsx</t>
  </si>
  <si>
    <t>20251107_223945_X_3.950mm_report.xlsx</t>
  </si>
  <si>
    <t>20251107_224206_X_3.975mm_report.xlsx</t>
  </si>
  <si>
    <t>20251107_224451_X_4.000mm_report.xlsx</t>
  </si>
  <si>
    <t>20251108_002230_X_0.000mm_report.xlsx</t>
  </si>
  <si>
    <t>20251108_002401_X_0.025mm_report.xlsx</t>
  </si>
  <si>
    <t>20251108_002517_X_0.050mm_report.xlsx</t>
  </si>
  <si>
    <t>20251108_002635_X_0.075mm_report.xlsx</t>
  </si>
  <si>
    <t>20251108_002752_X_0.100mm_report.xlsx</t>
  </si>
  <si>
    <t>20251108_002910_X_0.125mm_report.xlsx</t>
  </si>
  <si>
    <t>20251108_003028_X_0.150mm_report.xlsx</t>
  </si>
  <si>
    <t>20251108_003146_X_0.175mm_report.xlsx</t>
  </si>
  <si>
    <t>20251108_003305_X_0.200mm_report.xlsx</t>
  </si>
  <si>
    <t>20251108_003422_X_0.225mm_report.xlsx</t>
  </si>
  <si>
    <t>20251108_003541_X_0.250mm_report.xlsx</t>
  </si>
  <si>
    <t>20251108_003711_X_0.275mm_report.xlsx</t>
  </si>
  <si>
    <t>20251108_003830_X_0.300mm_report.xlsx</t>
  </si>
  <si>
    <t>20251108_003949_X_0.325mm_report.xlsx</t>
  </si>
  <si>
    <t>20251108_004107_X_0.350mm_report.xlsx</t>
  </si>
  <si>
    <t>20251108_004225_X_0.375mm_report.xlsx</t>
  </si>
  <si>
    <t>20251108_004343_X_0.400mm_report.xlsx</t>
  </si>
  <si>
    <t>20251108_004500_X_0.425mm_report.xlsx</t>
  </si>
  <si>
    <t>20251108_004619_X_0.450mm_report.xlsx</t>
  </si>
  <si>
    <t>20251108_004738_X_0.475mm_report.xlsx</t>
  </si>
  <si>
    <t>20251108_004856_X_0.500mm_report.xlsx</t>
  </si>
  <si>
    <t>20251108_005014_X_0.525mm_report.xlsx</t>
  </si>
  <si>
    <t>20251108_005132_X_0.550mm_report.xlsx</t>
  </si>
  <si>
    <t>20251108_005250_X_0.575mm_report.xlsx</t>
  </si>
  <si>
    <t>20251108_005408_X_0.600mm_report.xlsx</t>
  </si>
  <si>
    <t>20251108_005526_X_0.625mm_report.xlsx</t>
  </si>
  <si>
    <t>20251108_005644_X_0.650mm_report.xlsx</t>
  </si>
  <si>
    <t>20251108_005802_X_0.675mm_report.xlsx</t>
  </si>
  <si>
    <t>20251108_005921_X_0.700mm_report.xlsx</t>
  </si>
  <si>
    <t>20251108_010040_X_0.725mm_report.xlsx</t>
  </si>
  <si>
    <t>20251108_010200_X_0.750mm_report.xlsx</t>
  </si>
  <si>
    <t>20251108_010318_X_0.775mm_report.xlsx</t>
  </si>
  <si>
    <t>20251108_010437_X_0.800mm_report.xlsx</t>
  </si>
  <si>
    <t>20251108_010555_X_0.825mm_report.xlsx</t>
  </si>
  <si>
    <t>20251108_010714_X_0.850mm_report.xlsx</t>
  </si>
  <si>
    <t>20251108_010839_X_0.875mm_report.xlsx</t>
  </si>
  <si>
    <t>20251108_011002_X_0.900mm_report.xlsx</t>
  </si>
  <si>
    <t>20251108_011120_X_0.925mm_report.xlsx</t>
  </si>
  <si>
    <t>20251108_011238_X_0.950mm_report.xlsx</t>
  </si>
  <si>
    <t>20251108_011357_X_0.975mm_report.xlsx</t>
  </si>
  <si>
    <t>20251108_011516_X_1.000mm_report.xlsx</t>
  </si>
  <si>
    <t>20251108_011635_X_1.025mm_report.xlsx</t>
  </si>
  <si>
    <t>20251108_011754_X_1.050mm_report.xlsx</t>
  </si>
  <si>
    <t>20251108_011914_X_1.075mm_report.xlsx</t>
  </si>
  <si>
    <t>20251108_012032_X_1.100mm_report.xlsx</t>
  </si>
  <si>
    <t>20251108_012150_X_1.125mm_report.xlsx</t>
  </si>
  <si>
    <t>20251108_012308_X_1.150mm_report.xlsx</t>
  </si>
  <si>
    <t>20251108_012427_X_1.175mm_report.xlsx</t>
  </si>
  <si>
    <t>20251108_012545_X_1.200mm_report.xlsx</t>
  </si>
  <si>
    <t>20251108_012704_X_1.225mm_report.xlsx</t>
  </si>
  <si>
    <t>20251108_012824_X_1.250mm_report.xlsx</t>
  </si>
  <si>
    <t>20251108_012943_X_1.275mm_report.xlsx</t>
  </si>
  <si>
    <t>20251108_013101_X_1.300mm_report.xlsx</t>
  </si>
  <si>
    <t>20251108_013221_X_1.325mm_report.xlsx</t>
  </si>
  <si>
    <t>20251108_013340_X_1.350mm_report.xlsx</t>
  </si>
  <si>
    <t>20251108_013458_X_1.375mm_report.xlsx</t>
  </si>
  <si>
    <t>20251108_013617_X_1.400mm_report.xlsx</t>
  </si>
  <si>
    <t>20251108_013736_X_1.425mm_report.xlsx</t>
  </si>
  <si>
    <t>20251108_013855_X_1.450mm_report.xlsx</t>
  </si>
  <si>
    <t>20251108_014018_X_1.475mm_report.xlsx</t>
  </si>
  <si>
    <t>20251108_014143_X_1.500mm_report.xlsx</t>
  </si>
  <si>
    <t>20251108_014302_X_1.525mm_report.xlsx</t>
  </si>
  <si>
    <t>20251108_014421_X_1.550mm_report.xlsx</t>
  </si>
  <si>
    <t>20251108_014541_X_1.575mm_report.xlsx</t>
  </si>
  <si>
    <t>20251108_014700_X_1.600mm_report.xlsx</t>
  </si>
  <si>
    <t>20251108_014820_X_1.625mm_report.xlsx</t>
  </si>
  <si>
    <t>20251108_014940_X_1.650mm_report.xlsx</t>
  </si>
  <si>
    <t>20251108_015059_X_1.675mm_report.xlsx</t>
  </si>
  <si>
    <t>20251108_015215_X_1.700mm_report.xlsx</t>
  </si>
  <si>
    <t>20251108_015335_X_1.725mm_report.xlsx</t>
  </si>
  <si>
    <t>20251108_015454_X_1.750mm_report.xlsx</t>
  </si>
  <si>
    <t>20251108_015613_X_1.775mm_report.xlsx</t>
  </si>
  <si>
    <t>20251108_015735_X_1.800mm_report.xlsx</t>
  </si>
  <si>
    <t>20251108_015855_X_1.825mm_report.xlsx</t>
  </si>
  <si>
    <t>20251108_020015_X_1.850mm_report.xlsx</t>
  </si>
  <si>
    <t>20251108_020131_X_1.875mm_report.xlsx</t>
  </si>
  <si>
    <t>20251108_020250_X_1.900mm_report.xlsx</t>
  </si>
  <si>
    <t>20251108_020410_X_1.925mm_report.xlsx</t>
  </si>
  <si>
    <t>20251108_020530_X_1.950mm_report.xlsx</t>
  </si>
  <si>
    <t>20251108_020649_X_1.975mm_report.xlsx</t>
  </si>
  <si>
    <t>20251108_020809_X_2.000mm_report.xlsx</t>
  </si>
  <si>
    <t>20251108_020928_X_2.025mm_report.xlsx</t>
  </si>
  <si>
    <t>20251108_021048_X_2.050mm_report.xlsx</t>
  </si>
  <si>
    <t>20251108_021210_X_2.075mm_report.xlsx</t>
  </si>
  <si>
    <t>20251108_021336_X_2.100mm_report.xlsx</t>
  </si>
  <si>
    <t>20251108_021455_X_2.125mm_report.xlsx</t>
  </si>
  <si>
    <t>20251108_021614_X_2.150mm_report.xlsx</t>
  </si>
  <si>
    <t>20251108_021733_X_2.175mm_report.xlsx</t>
  </si>
  <si>
    <t>20251108_021852_X_2.200mm_report.xlsx</t>
  </si>
  <si>
    <t>20251108_022012_X_2.225mm_report.xlsx</t>
  </si>
  <si>
    <t>20251108_022130_X_2.250mm_report.xlsx</t>
  </si>
  <si>
    <t>20251108_022249_X_2.275mm_report.xlsx</t>
  </si>
  <si>
    <t>20251108_022408_X_2.300mm_report.xlsx</t>
  </si>
  <si>
    <t>20251108_022526_X_2.325mm_report.xlsx</t>
  </si>
  <si>
    <t>20251108_022645_X_2.350mm_report.xlsx</t>
  </si>
  <si>
    <t>20251108_022804_X_2.375mm_report.xlsx</t>
  </si>
  <si>
    <t>20251108_022924_X_2.400mm_report.xlsx</t>
  </si>
  <si>
    <t>20251108_023043_X_2.425mm_report.xlsx</t>
  </si>
  <si>
    <t>20251108_023202_X_2.450mm_report.xlsx</t>
  </si>
  <si>
    <t>20251108_023321_X_2.475mm_report.xlsx</t>
  </si>
  <si>
    <t>20251108_023440_X_2.500mm_report.xlsx</t>
  </si>
  <si>
    <t>20251108_023600_X_2.525mm_report.xlsx</t>
  </si>
  <si>
    <t>20251108_023718_X_2.550mm_report.xlsx</t>
  </si>
  <si>
    <t>20251108_023839_X_2.575mm_report.xlsx</t>
  </si>
  <si>
    <t>20251108_023958_X_2.600mm_report.xlsx</t>
  </si>
  <si>
    <t>20251108_024117_X_2.625mm_report.xlsx</t>
  </si>
  <si>
    <t>20251108_024234_X_2.650mm_report.xlsx</t>
  </si>
  <si>
    <t>20251108_024352_X_2.675mm_report.xlsx</t>
  </si>
  <si>
    <t>20251108_024516_X_2.700mm_report.xlsx</t>
  </si>
  <si>
    <t>20251108_024635_X_2.725mm_report.xlsx</t>
  </si>
  <si>
    <t>20251108_024754_X_2.750mm_report.xlsx</t>
  </si>
  <si>
    <t>20251108_024908_X_2.775mm_report.xlsx</t>
  </si>
  <si>
    <t>20251108_025026_X_2.800mm_report.xlsx</t>
  </si>
  <si>
    <t>20251108_025144_X_2.825mm_report.xlsx</t>
  </si>
  <si>
    <t>20251108_025302_X_2.850mm_report.xlsx</t>
  </si>
  <si>
    <t>20251108_025419_X_2.875mm_report.xlsx</t>
  </si>
  <si>
    <t>20251108_025536_X_2.900mm_report.xlsx</t>
  </si>
  <si>
    <t>20251108_025650_X_2.925mm_report.xlsx</t>
  </si>
  <si>
    <t>20251108_025804_X_2.950mm_report.xlsx</t>
  </si>
  <si>
    <t>20251108_025923_X_2.975mm_report.xlsx</t>
  </si>
  <si>
    <t>20251108_030037_X_3.000mm_report.xlsx</t>
  </si>
  <si>
    <t>20251108_030145_X_3.025mm_report.xlsx</t>
  </si>
  <si>
    <t>20251108_030252_X_3.050mm_report.xlsx</t>
  </si>
  <si>
    <t>20251108_030406_X_3.075mm_report.xlsx</t>
  </si>
  <si>
    <t>20251108_030520_X_3.100mm_report.xlsx</t>
  </si>
  <si>
    <t>20251108_030633_X_3.125mm_report.xlsx</t>
  </si>
  <si>
    <t>20251108_030752_X_3.150mm_report.xlsx</t>
  </si>
  <si>
    <t>20251108_030904_X_3.175mm_report.xlsx</t>
  </si>
  <si>
    <t>20251108_031023_X_3.200mm_report.xlsx</t>
  </si>
  <si>
    <t>20251108_031141_X_3.225mm_report.xlsx</t>
  </si>
  <si>
    <t>20251108_031300_X_3.250mm_report.xlsx</t>
  </si>
  <si>
    <t>20251108_031418_X_3.275mm_report.xlsx</t>
  </si>
  <si>
    <t>20251108_031537_X_3.300mm_report.xlsx</t>
  </si>
  <si>
    <t>20251108_031703_X_3.325mm_report.xlsx</t>
  </si>
  <si>
    <t>20251108_031824_X_3.350mm_report.xlsx</t>
  </si>
  <si>
    <t>20251108_031944_X_3.375mm_report.xlsx</t>
  </si>
  <si>
    <t>20251108_032059_X_3.400mm_report.xlsx</t>
  </si>
  <si>
    <t>20251108_032207_X_3.425mm_report.xlsx</t>
  </si>
  <si>
    <t>20251108_032319_X_3.450mm_report.xlsx</t>
  </si>
  <si>
    <t>20251108_032430_X_3.475mm_report.xlsx</t>
  </si>
  <si>
    <t>20251108_032543_X_3.500mm_report.xlsx</t>
  </si>
  <si>
    <t>20251108_032646_X_3.525mm_report.xlsx</t>
  </si>
  <si>
    <t>20251108_032757_X_3.550mm_report.xlsx</t>
  </si>
  <si>
    <t>20251108_032901_X_3.575mm_report.xlsx</t>
  </si>
  <si>
    <t>20251108_033016_X_3.600mm_report.xlsx</t>
  </si>
  <si>
    <t>20251108_033134_X_3.625mm_report.xlsx</t>
  </si>
  <si>
    <t>20251108_033238_X_3.650mm_report.xlsx</t>
  </si>
  <si>
    <t>20251108_033346_X_3.675mm_report.xlsx</t>
  </si>
  <si>
    <t>20251108_033502_X_3.700mm_report.xlsx</t>
  </si>
  <si>
    <t>20251108_033609_X_3.725mm_report.xlsx</t>
  </si>
  <si>
    <t>20251108_033717_X_3.750mm_report.xlsx</t>
  </si>
  <si>
    <t>20251108_033820_X_3.775mm_report.xlsx</t>
  </si>
  <si>
    <t>20251108_033931_X_3.800mm_report.xlsx</t>
  </si>
  <si>
    <t>20251108_034039_X_3.825mm_report.xlsx</t>
  </si>
  <si>
    <t>20251108_034140_X_3.850mm_report.xlsx</t>
  </si>
  <si>
    <t>20251108_034254_X_3.875mm_report.xlsx</t>
  </si>
  <si>
    <t>20251108_034407_X_3.900mm_report.xlsx</t>
  </si>
  <si>
    <t>20251108_034518_X_3.925mm_report.xlsx</t>
  </si>
  <si>
    <t>20251108_034626_X_3.950mm_report.xlsx</t>
  </si>
  <si>
    <t>20251108_034731_X_3.975mm_report.xlsx</t>
  </si>
  <si>
    <t>20251108_034833_X_4.000mm_report.xlsx</t>
  </si>
  <si>
    <t>X_Solution</t>
  </si>
  <si>
    <t>Z_Solution</t>
    <phoneticPr fontId="2" type="noConversion"/>
  </si>
  <si>
    <t>與中心軸Z2.075交點</t>
    <phoneticPr fontId="2" type="noConversion"/>
  </si>
  <si>
    <t>X</t>
    <phoneticPr fontId="2" type="noConversion"/>
  </si>
  <si>
    <t>距離D</t>
    <phoneticPr fontId="2" type="noConversion"/>
  </si>
  <si>
    <t>Spot_2_A Z=0</t>
    <phoneticPr fontId="2" type="noConversion"/>
  </si>
  <si>
    <t>X_value</t>
  </si>
  <si>
    <t>Spot_2_A Z=2</t>
    <phoneticPr fontId="2" type="noConversion"/>
  </si>
  <si>
    <t>Spot_2_A z=4</t>
    <phoneticPr fontId="2" type="noConversion"/>
  </si>
  <si>
    <t>Spot_2_A z=6</t>
    <phoneticPr fontId="2" type="noConversion"/>
  </si>
  <si>
    <t>Integration_Result</t>
  </si>
  <si>
    <t>Integration_Result Z=0</t>
    <phoneticPr fontId="2" type="noConversion"/>
  </si>
  <si>
    <t>cos theta</t>
    <phoneticPr fontId="2" type="noConversion"/>
  </si>
  <si>
    <t>Integration_Result Z=0/ cos theta</t>
    <phoneticPr fontId="2" type="noConversion"/>
  </si>
  <si>
    <t>Spot_2_A Z=0 /cos theta</t>
    <phoneticPr fontId="2" type="noConversion"/>
  </si>
  <si>
    <t>Z=6 Integration_Result</t>
    <phoneticPr fontId="2" type="noConversion"/>
  </si>
  <si>
    <t xml:space="preserve"> Z=4 Integration_Result</t>
    <phoneticPr fontId="2" type="noConversion"/>
  </si>
  <si>
    <t>angle(rad)</t>
    <phoneticPr fontId="2" type="noConversion"/>
  </si>
  <si>
    <t>弧度(度)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</si>
</sst>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0" xfId="0" applyFont="1" applyFill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主平面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Intersections!$B$25:$B$145</c:f>
              <c:numCache>
                <c:formatCode>General</c:formatCode>
                <c:ptCount val="121"/>
                <c:pt idx="0">
                  <c:v>-4.9543692787782208</c:v>
                </c:pt>
                <c:pt idx="1">
                  <c:v>-4.9511802489646604</c:v>
                </c:pt>
                <c:pt idx="2">
                  <c:v>-4.8470497857875134</c:v>
                </c:pt>
                <c:pt idx="3">
                  <c:v>-5.2259736811320652</c:v>
                </c:pt>
                <c:pt idx="4">
                  <c:v>-4.9916900943171436</c:v>
                </c:pt>
                <c:pt idx="5">
                  <c:v>-5.2790038753751558</c:v>
                </c:pt>
                <c:pt idx="6">
                  <c:v>-5.1156176730056186</c:v>
                </c:pt>
                <c:pt idx="7">
                  <c:v>-5.0434390684381754</c:v>
                </c:pt>
                <c:pt idx="8">
                  <c:v>-5.1695975814336244</c:v>
                </c:pt>
                <c:pt idx="9">
                  <c:v>-5.3381695066145589</c:v>
                </c:pt>
                <c:pt idx="10">
                  <c:v>-5.2155827303227564</c:v>
                </c:pt>
                <c:pt idx="11">
                  <c:v>-5.4706141986190699</c:v>
                </c:pt>
                <c:pt idx="12">
                  <c:v>-5.4372907463844813</c:v>
                </c:pt>
                <c:pt idx="13">
                  <c:v>-5.3432633058904058</c:v>
                </c:pt>
                <c:pt idx="14">
                  <c:v>-5.3879502150293623</c:v>
                </c:pt>
                <c:pt idx="15">
                  <c:v>-5.3657787751715418</c:v>
                </c:pt>
                <c:pt idx="16">
                  <c:v>-5.4351743995200614</c:v>
                </c:pt>
                <c:pt idx="17">
                  <c:v>-5.4215363021652472</c:v>
                </c:pt>
                <c:pt idx="18">
                  <c:v>-5.4063870431686016</c:v>
                </c:pt>
                <c:pt idx="19">
                  <c:v>-5.4891504184692614</c:v>
                </c:pt>
                <c:pt idx="20">
                  <c:v>-5.50509535440154</c:v>
                </c:pt>
                <c:pt idx="21">
                  <c:v>-5.5643131765595344</c:v>
                </c:pt>
                <c:pt idx="22">
                  <c:v>-5.606569551555709</c:v>
                </c:pt>
                <c:pt idx="23">
                  <c:v>-5.6657216703328537</c:v>
                </c:pt>
                <c:pt idx="24">
                  <c:v>-5.665526656454615</c:v>
                </c:pt>
                <c:pt idx="25">
                  <c:v>-5.6594619979567407</c:v>
                </c:pt>
                <c:pt idx="26">
                  <c:v>-5.6673131001560879</c:v>
                </c:pt>
                <c:pt idx="27">
                  <c:v>-5.6928975816773839</c:v>
                </c:pt>
                <c:pt idx="28">
                  <c:v>-5.6696598618960543</c:v>
                </c:pt>
                <c:pt idx="29">
                  <c:v>-5.416266541081904</c:v>
                </c:pt>
                <c:pt idx="30">
                  <c:v>-5.6900827850035984</c:v>
                </c:pt>
                <c:pt idx="31">
                  <c:v>-5.611326206518422</c:v>
                </c:pt>
                <c:pt idx="32">
                  <c:v>-5.6730828775071496</c:v>
                </c:pt>
                <c:pt idx="33">
                  <c:v>-5.7617143029523437</c:v>
                </c:pt>
                <c:pt idx="34">
                  <c:v>-5.7986967953403834</c:v>
                </c:pt>
                <c:pt idx="35">
                  <c:v>-5.6250521234492572</c:v>
                </c:pt>
                <c:pt idx="36">
                  <c:v>-6.036386426330048</c:v>
                </c:pt>
                <c:pt idx="37">
                  <c:v>-6.0487752760856974</c:v>
                </c:pt>
                <c:pt idx="38">
                  <c:v>-5.9612299040968049</c:v>
                </c:pt>
                <c:pt idx="39">
                  <c:v>-6.1510065406769083</c:v>
                </c:pt>
                <c:pt idx="40">
                  <c:v>-6.0110992840109976</c:v>
                </c:pt>
                <c:pt idx="41">
                  <c:v>-6.1168629078381018</c:v>
                </c:pt>
                <c:pt idx="42">
                  <c:v>-6.1628123909474501</c:v>
                </c:pt>
                <c:pt idx="43">
                  <c:v>-6.1686316983508291</c:v>
                </c:pt>
                <c:pt idx="44">
                  <c:v>-6.2797648330835623</c:v>
                </c:pt>
                <c:pt idx="45">
                  <c:v>-6.218910843072214</c:v>
                </c:pt>
                <c:pt idx="46">
                  <c:v>-6.1704620236130374</c:v>
                </c:pt>
                <c:pt idx="47">
                  <c:v>-6.167259869880235</c:v>
                </c:pt>
                <c:pt idx="48">
                  <c:v>-6.1919409506337484</c:v>
                </c:pt>
                <c:pt idx="49">
                  <c:v>-6.1393031761571022</c:v>
                </c:pt>
                <c:pt idx="50">
                  <c:v>-6.1640394595635906</c:v>
                </c:pt>
                <c:pt idx="51">
                  <c:v>-6.4790245974533702</c:v>
                </c:pt>
                <c:pt idx="52">
                  <c:v>-6.172736296303964</c:v>
                </c:pt>
                <c:pt idx="53">
                  <c:v>-6.1004224283613233</c:v>
                </c:pt>
                <c:pt idx="54">
                  <c:v>-6.2788019456380164</c:v>
                </c:pt>
                <c:pt idx="55">
                  <c:v>-6.391218038254733</c:v>
                </c:pt>
                <c:pt idx="56">
                  <c:v>-7.0463953416041418</c:v>
                </c:pt>
                <c:pt idx="57">
                  <c:v>-7.5736335318058821</c:v>
                </c:pt>
                <c:pt idx="58">
                  <c:v>-8.1842616429540556</c:v>
                </c:pt>
                <c:pt idx="59">
                  <c:v>-9.7752956172968517</c:v>
                </c:pt>
                <c:pt idx="60">
                  <c:v>-59.804206923872393</c:v>
                </c:pt>
                <c:pt idx="61">
                  <c:v>-2.6599497523483482</c:v>
                </c:pt>
                <c:pt idx="62">
                  <c:v>-3.6562278620579409</c:v>
                </c:pt>
                <c:pt idx="63">
                  <c:v>-5.6399647439258684</c:v>
                </c:pt>
                <c:pt idx="64">
                  <c:v>-5.6754567174602402</c:v>
                </c:pt>
                <c:pt idx="65">
                  <c:v>-5.9039250220902693</c:v>
                </c:pt>
                <c:pt idx="66">
                  <c:v>-5.9048009539657969</c:v>
                </c:pt>
                <c:pt idx="67">
                  <c:v>-5.9128420481367936</c:v>
                </c:pt>
                <c:pt idx="68">
                  <c:v>-5.719436377075338</c:v>
                </c:pt>
                <c:pt idx="69">
                  <c:v>-5.5813913921190226</c:v>
                </c:pt>
                <c:pt idx="70">
                  <c:v>-5.6094321894549628</c:v>
                </c:pt>
                <c:pt idx="71">
                  <c:v>-5.4979337629805514</c:v>
                </c:pt>
                <c:pt idx="72">
                  <c:v>-5.60835957950514</c:v>
                </c:pt>
                <c:pt idx="73">
                  <c:v>-5.6873000584451603</c:v>
                </c:pt>
                <c:pt idx="74">
                  <c:v>-5.6138241579878851</c:v>
                </c:pt>
                <c:pt idx="75">
                  <c:v>-5.7232524931501434</c:v>
                </c:pt>
                <c:pt idx="76">
                  <c:v>-5.7260268306598823</c:v>
                </c:pt>
                <c:pt idx="77">
                  <c:v>-5.5890526094095607</c:v>
                </c:pt>
                <c:pt idx="78">
                  <c:v>-5.5994200625302932</c:v>
                </c:pt>
                <c:pt idx="79">
                  <c:v>-5.5709960408949177</c:v>
                </c:pt>
                <c:pt idx="80">
                  <c:v>-5.5344387525496161</c:v>
                </c:pt>
                <c:pt idx="81">
                  <c:v>-5.5174473299515023</c:v>
                </c:pt>
                <c:pt idx="82">
                  <c:v>-5.595738206132487</c:v>
                </c:pt>
                <c:pt idx="83">
                  <c:v>-5.6663423930390797</c:v>
                </c:pt>
                <c:pt idx="84">
                  <c:v>-5.5636174826597857</c:v>
                </c:pt>
                <c:pt idx="85">
                  <c:v>-5.6266164116109003</c:v>
                </c:pt>
                <c:pt idx="86">
                  <c:v>-5.4563609527334229</c:v>
                </c:pt>
                <c:pt idx="87">
                  <c:v>-5.720976448853917</c:v>
                </c:pt>
                <c:pt idx="88">
                  <c:v>-5.6749444367692936</c:v>
                </c:pt>
                <c:pt idx="89">
                  <c:v>-5.6240622208436806</c:v>
                </c:pt>
                <c:pt idx="90">
                  <c:v>-5.675885276886536</c:v>
                </c:pt>
                <c:pt idx="91">
                  <c:v>-5.6868326869687698</c:v>
                </c:pt>
                <c:pt idx="92">
                  <c:v>-5.6776983962576129</c:v>
                </c:pt>
                <c:pt idx="93">
                  <c:v>-5.7311718557609526</c:v>
                </c:pt>
                <c:pt idx="94">
                  <c:v>-5.5017895342075027</c:v>
                </c:pt>
                <c:pt idx="95">
                  <c:v>-5.5500906627432549</c:v>
                </c:pt>
                <c:pt idx="96">
                  <c:v>-5.5735102203075648</c:v>
                </c:pt>
                <c:pt idx="97">
                  <c:v>-5.4503024900821533</c:v>
                </c:pt>
                <c:pt idx="98">
                  <c:v>-5.4478885840067797</c:v>
                </c:pt>
                <c:pt idx="99">
                  <c:v>-5.4489114124718414</c:v>
                </c:pt>
                <c:pt idx="100">
                  <c:v>-5.4226122047365566</c:v>
                </c:pt>
                <c:pt idx="101">
                  <c:v>-5.4483064934771877</c:v>
                </c:pt>
                <c:pt idx="102">
                  <c:v>-5.3461761657829179</c:v>
                </c:pt>
                <c:pt idx="103">
                  <c:v>-5.3262667335141467</c:v>
                </c:pt>
                <c:pt idx="104">
                  <c:v>-5.3267010872368088</c:v>
                </c:pt>
                <c:pt idx="105">
                  <c:v>-5.3897494007286646</c:v>
                </c:pt>
                <c:pt idx="106">
                  <c:v>-5.2548270766034966</c:v>
                </c:pt>
                <c:pt idx="107">
                  <c:v>-5.1656808370415863</c:v>
                </c:pt>
                <c:pt idx="108">
                  <c:v>-5.2771644444344226</c:v>
                </c:pt>
                <c:pt idx="109">
                  <c:v>-5.1468342397847708</c:v>
                </c:pt>
                <c:pt idx="110">
                  <c:v>-5.0174791220211654</c:v>
                </c:pt>
                <c:pt idx="111">
                  <c:v>-4.9103732491342429</c:v>
                </c:pt>
                <c:pt idx="112">
                  <c:v>-4.9275127747725049</c:v>
                </c:pt>
                <c:pt idx="113">
                  <c:v>-5.0239427381741821</c:v>
                </c:pt>
                <c:pt idx="114">
                  <c:v>-4.570118837142112</c:v>
                </c:pt>
                <c:pt idx="115">
                  <c:v>-4.7141994271311276</c:v>
                </c:pt>
                <c:pt idx="116">
                  <c:v>-5.3300193052089293</c:v>
                </c:pt>
                <c:pt idx="117">
                  <c:v>-4.6001769906758572</c:v>
                </c:pt>
                <c:pt idx="118">
                  <c:v>-4.8793253338412121</c:v>
                </c:pt>
                <c:pt idx="119">
                  <c:v>-4.6555660419568188</c:v>
                </c:pt>
                <c:pt idx="120">
                  <c:v>-5.8029440815297244</c:v>
                </c:pt>
              </c:numCache>
            </c:numRef>
          </c:xVal>
          <c:yVal>
            <c:numRef>
              <c:f>Intersections!$C$25:$C$145</c:f>
              <c:numCache>
                <c:formatCode>General</c:formatCode>
                <c:ptCount val="121"/>
                <c:pt idx="0">
                  <c:v>893.73459790319816</c:v>
                </c:pt>
                <c:pt idx="1">
                  <c:v>893.96042567879579</c:v>
                </c:pt>
                <c:pt idx="2">
                  <c:v>894.18248572619268</c:v>
                </c:pt>
                <c:pt idx="3">
                  <c:v>894.44548770953895</c:v>
                </c:pt>
                <c:pt idx="4">
                  <c:v>894.78217568499474</c:v>
                </c:pt>
                <c:pt idx="5">
                  <c:v>895.01517624578241</c:v>
                </c:pt>
                <c:pt idx="6">
                  <c:v>895.32279018065572</c:v>
                </c:pt>
                <c:pt idx="7">
                  <c:v>895.62338459074408</c:v>
                </c:pt>
                <c:pt idx="8">
                  <c:v>895.93739513595176</c:v>
                </c:pt>
                <c:pt idx="9">
                  <c:v>896.20831297137374</c:v>
                </c:pt>
                <c:pt idx="10">
                  <c:v>896.55366781812131</c:v>
                </c:pt>
                <c:pt idx="11">
                  <c:v>896.84923217256119</c:v>
                </c:pt>
                <c:pt idx="12">
                  <c:v>897.12824892400704</c:v>
                </c:pt>
                <c:pt idx="13">
                  <c:v>897.41144981816296</c:v>
                </c:pt>
                <c:pt idx="14">
                  <c:v>897.67858705303001</c:v>
                </c:pt>
                <c:pt idx="15">
                  <c:v>897.93204331513493</c:v>
                </c:pt>
                <c:pt idx="16">
                  <c:v>898.24978021821642</c:v>
                </c:pt>
                <c:pt idx="17">
                  <c:v>898.59578373413046</c:v>
                </c:pt>
                <c:pt idx="18">
                  <c:v>898.90356241244729</c:v>
                </c:pt>
                <c:pt idx="19">
                  <c:v>899.15328491351647</c:v>
                </c:pt>
                <c:pt idx="20">
                  <c:v>899.4361556526012</c:v>
                </c:pt>
                <c:pt idx="21">
                  <c:v>899.7201116717705</c:v>
                </c:pt>
                <c:pt idx="22">
                  <c:v>899.97932611854287</c:v>
                </c:pt>
                <c:pt idx="23">
                  <c:v>900.19003989809016</c:v>
                </c:pt>
                <c:pt idx="24">
                  <c:v>900.47173471108636</c:v>
                </c:pt>
                <c:pt idx="25">
                  <c:v>900.78620912411941</c:v>
                </c:pt>
                <c:pt idx="26">
                  <c:v>901.08239215606284</c:v>
                </c:pt>
                <c:pt idx="27">
                  <c:v>901.38102850098926</c:v>
                </c:pt>
                <c:pt idx="28">
                  <c:v>901.61243575967887</c:v>
                </c:pt>
                <c:pt idx="29">
                  <c:v>901.9628041796758</c:v>
                </c:pt>
                <c:pt idx="30">
                  <c:v>902.20127367685802</c:v>
                </c:pt>
                <c:pt idx="31">
                  <c:v>902.54832844948839</c:v>
                </c:pt>
                <c:pt idx="32">
                  <c:v>902.79615821786831</c:v>
                </c:pt>
                <c:pt idx="33">
                  <c:v>903.0370290154076</c:v>
                </c:pt>
                <c:pt idx="34">
                  <c:v>903.3097186213887</c:v>
                </c:pt>
                <c:pt idx="35">
                  <c:v>903.57219769402184</c:v>
                </c:pt>
                <c:pt idx="36">
                  <c:v>903.79693083051086</c:v>
                </c:pt>
                <c:pt idx="37">
                  <c:v>904.04072238652316</c:v>
                </c:pt>
                <c:pt idx="38">
                  <c:v>904.29608753943228</c:v>
                </c:pt>
                <c:pt idx="39">
                  <c:v>904.53911658532115</c:v>
                </c:pt>
                <c:pt idx="40">
                  <c:v>904.83978211120245</c:v>
                </c:pt>
                <c:pt idx="41">
                  <c:v>905.06937367060152</c:v>
                </c:pt>
                <c:pt idx="42">
                  <c:v>905.32821966779784</c:v>
                </c:pt>
                <c:pt idx="43">
                  <c:v>905.5920183440586</c:v>
                </c:pt>
                <c:pt idx="44">
                  <c:v>905.83889052102313</c:v>
                </c:pt>
                <c:pt idx="45">
                  <c:v>906.20487505564574</c:v>
                </c:pt>
                <c:pt idx="46">
                  <c:v>906.50169751629699</c:v>
                </c:pt>
                <c:pt idx="47">
                  <c:v>906.78593094452322</c:v>
                </c:pt>
                <c:pt idx="48">
                  <c:v>907.04078262540077</c:v>
                </c:pt>
                <c:pt idx="49">
                  <c:v>907.38753721107753</c:v>
                </c:pt>
                <c:pt idx="50">
                  <c:v>907.64289995674767</c:v>
                </c:pt>
                <c:pt idx="51">
                  <c:v>907.80198073753536</c:v>
                </c:pt>
                <c:pt idx="52">
                  <c:v>908.14457030079348</c:v>
                </c:pt>
                <c:pt idx="53">
                  <c:v>908.43400876929866</c:v>
                </c:pt>
                <c:pt idx="54">
                  <c:v>908.65150009435604</c:v>
                </c:pt>
                <c:pt idx="55">
                  <c:v>908.92235165086731</c:v>
                </c:pt>
                <c:pt idx="56">
                  <c:v>909.0959159469196</c:v>
                </c:pt>
                <c:pt idx="57">
                  <c:v>909.3115626069125</c:v>
                </c:pt>
                <c:pt idx="58">
                  <c:v>909.51141497268759</c:v>
                </c:pt>
                <c:pt idx="59">
                  <c:v>909.56754696967278</c:v>
                </c:pt>
                <c:pt idx="60">
                  <c:v>902.09534109944138</c:v>
                </c:pt>
                <c:pt idx="61">
                  <c:v>911.31213567483894</c:v>
                </c:pt>
                <c:pt idx="62">
                  <c:v>911.4500900527994</c:v>
                </c:pt>
                <c:pt idx="63">
                  <c:v>911.4524905412552</c:v>
                </c:pt>
                <c:pt idx="64">
                  <c:v>911.7783877281064</c:v>
                </c:pt>
                <c:pt idx="65">
                  <c:v>912.04665801411466</c:v>
                </c:pt>
                <c:pt idx="66">
                  <c:v>912.33451612487386</c:v>
                </c:pt>
                <c:pt idx="67">
                  <c:v>912.61970246535247</c:v>
                </c:pt>
                <c:pt idx="68">
                  <c:v>912.94033690442734</c:v>
                </c:pt>
                <c:pt idx="69">
                  <c:v>913.19781967667018</c:v>
                </c:pt>
                <c:pt idx="70">
                  <c:v>913.4486137793275</c:v>
                </c:pt>
                <c:pt idx="71">
                  <c:v>913.76523637590128</c:v>
                </c:pt>
                <c:pt idx="72">
                  <c:v>914.0274206339393</c:v>
                </c:pt>
                <c:pt idx="73">
                  <c:v>914.31175579367641</c:v>
                </c:pt>
                <c:pt idx="74">
                  <c:v>914.58958771646451</c:v>
                </c:pt>
                <c:pt idx="75">
                  <c:v>914.83948069056373</c:v>
                </c:pt>
                <c:pt idx="76">
                  <c:v>915.20082487497996</c:v>
                </c:pt>
                <c:pt idx="77">
                  <c:v>915.43654257284823</c:v>
                </c:pt>
                <c:pt idx="78">
                  <c:v>915.68916804444598</c:v>
                </c:pt>
                <c:pt idx="79">
                  <c:v>915.9376406649734</c:v>
                </c:pt>
                <c:pt idx="80">
                  <c:v>916.25714185477102</c:v>
                </c:pt>
                <c:pt idx="81">
                  <c:v>916.52342655685004</c:v>
                </c:pt>
                <c:pt idx="82">
                  <c:v>916.77404963173876</c:v>
                </c:pt>
                <c:pt idx="83">
                  <c:v>917.03194954356104</c:v>
                </c:pt>
                <c:pt idx="84">
                  <c:v>917.31315845872302</c:v>
                </c:pt>
                <c:pt idx="85">
                  <c:v>917.60217239043743</c:v>
                </c:pt>
                <c:pt idx="86">
                  <c:v>917.92556169671855</c:v>
                </c:pt>
                <c:pt idx="87">
                  <c:v>918.20034577045715</c:v>
                </c:pt>
                <c:pt idx="88">
                  <c:v>918.52170058111756</c:v>
                </c:pt>
                <c:pt idx="89">
                  <c:v>918.73847591575213</c:v>
                </c:pt>
                <c:pt idx="90">
                  <c:v>918.97734039446391</c:v>
                </c:pt>
                <c:pt idx="91">
                  <c:v>919.20174692834712</c:v>
                </c:pt>
                <c:pt idx="92">
                  <c:v>919.49560104740101</c:v>
                </c:pt>
                <c:pt idx="93">
                  <c:v>919.71372594920899</c:v>
                </c:pt>
                <c:pt idx="94">
                  <c:v>920.00819002426579</c:v>
                </c:pt>
                <c:pt idx="95">
                  <c:v>920.2388059693626</c:v>
                </c:pt>
                <c:pt idx="96">
                  <c:v>920.39649706789612</c:v>
                </c:pt>
                <c:pt idx="97">
                  <c:v>920.66093461235562</c:v>
                </c:pt>
                <c:pt idx="98">
                  <c:v>921.02823756048599</c:v>
                </c:pt>
                <c:pt idx="99">
                  <c:v>921.19190087806624</c:v>
                </c:pt>
                <c:pt idx="100">
                  <c:v>921.47935883393291</c:v>
                </c:pt>
                <c:pt idx="101">
                  <c:v>921.72410300832883</c:v>
                </c:pt>
                <c:pt idx="102">
                  <c:v>921.97548658576261</c:v>
                </c:pt>
                <c:pt idx="103">
                  <c:v>922.26924834663168</c:v>
                </c:pt>
                <c:pt idx="104">
                  <c:v>922.59259621502918</c:v>
                </c:pt>
                <c:pt idx="105">
                  <c:v>922.9178297247031</c:v>
                </c:pt>
                <c:pt idx="106">
                  <c:v>923.17550651223166</c:v>
                </c:pt>
                <c:pt idx="107">
                  <c:v>923.4664088158961</c:v>
                </c:pt>
                <c:pt idx="108">
                  <c:v>923.69562243709265</c:v>
                </c:pt>
                <c:pt idx="109">
                  <c:v>923.97202356047455</c:v>
                </c:pt>
                <c:pt idx="110">
                  <c:v>924.29324700759639</c:v>
                </c:pt>
                <c:pt idx="111">
                  <c:v>924.57591644872355</c:v>
                </c:pt>
                <c:pt idx="112">
                  <c:v>924.7909054880131</c:v>
                </c:pt>
                <c:pt idx="113">
                  <c:v>925.36052688169036</c:v>
                </c:pt>
                <c:pt idx="114">
                  <c:v>925.4087493745086</c:v>
                </c:pt>
                <c:pt idx="115">
                  <c:v>925.64725915237011</c:v>
                </c:pt>
                <c:pt idx="116">
                  <c:v>925.83216257321226</c:v>
                </c:pt>
                <c:pt idx="117">
                  <c:v>926.23214344005271</c:v>
                </c:pt>
                <c:pt idx="118">
                  <c:v>926.56032640891817</c:v>
                </c:pt>
                <c:pt idx="119">
                  <c:v>926.75093970946455</c:v>
                </c:pt>
                <c:pt idx="120">
                  <c:v>926.96422136028684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16-4CD9-9238-3295DA5C1D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198143"/>
        <c:axId val="538200639"/>
      </c:scatterChart>
      <c:valAx>
        <c:axId val="538198143"/>
        <c:scaling>
          <c:orientation val="minMax"/>
          <c:max val="15"/>
          <c:min val="-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38200639"/>
        <c:crosses val="autoZero"/>
        <c:crossBetween val="midCat"/>
      </c:valAx>
      <c:valAx>
        <c:axId val="53820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X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38198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>
                <a:effectLst/>
              </a:rPr>
              <a:t>(z=0)</a:t>
            </a:r>
            <a:r>
              <a:rPr lang="en-US" altLang="zh-CN" sz="1800" baseline="0">
                <a:effectLst/>
              </a:rPr>
              <a:t> </a:t>
            </a:r>
            <a:r>
              <a:rPr lang="zh-CN" altLang="zh-TW" sz="1800">
                <a:effectLst/>
              </a:rPr>
              <a:t>角度 </a:t>
            </a:r>
            <a:r>
              <a:rPr lang="zh-CN" altLang="zh-TW" sz="1800" i="0">
                <a:effectLst/>
              </a:rPr>
              <a:t>(</a:t>
            </a:r>
            <a:r>
              <a:rPr lang="zh-CN" altLang="en-US" sz="1800" i="0">
                <a:effectLst/>
              </a:rPr>
              <a:t>𝜃</a:t>
            </a:r>
            <a:r>
              <a:rPr lang="zh-CN" altLang="zh-TW" sz="1800" i="0">
                <a:effectLst/>
              </a:rPr>
              <a:t>)</a:t>
            </a:r>
            <a:r>
              <a:rPr lang="zh-CN" altLang="zh-TW" sz="1800">
                <a:effectLst/>
              </a:rPr>
              <a:t> 對 </a:t>
            </a:r>
            <a:r>
              <a:rPr lang="zh-CN" altLang="en-US" sz="1800" i="0">
                <a:effectLst/>
              </a:rPr>
              <a:t>𝐴</a:t>
            </a:r>
            <a:r>
              <a:rPr lang="zh-CN" altLang="zh-TW" sz="1800">
                <a:effectLst/>
              </a:rPr>
              <a:t> 值之關係圖</a:t>
            </a:r>
            <a:endParaRPr lang="zh-TW" altLang="zh-TW" sz="1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Intersections!$Q$25:$Q$145</c:f>
              <c:numCache>
                <c:formatCode>General</c:formatCode>
                <c:ptCount val="121"/>
                <c:pt idx="0">
                  <c:v>22.455716314268837</c:v>
                </c:pt>
                <c:pt idx="1">
                  <c:v>22.143174642383755</c:v>
                </c:pt>
                <c:pt idx="2">
                  <c:v>22.180068872305778</c:v>
                </c:pt>
                <c:pt idx="3">
                  <c:v>20.987518059227575</c:v>
                </c:pt>
                <c:pt idx="4">
                  <c:v>21.304895619192973</c:v>
                </c:pt>
                <c:pt idx="5">
                  <c:v>20.320593115600225</c:v>
                </c:pt>
                <c:pt idx="6">
                  <c:v>20.418953494053415</c:v>
                </c:pt>
                <c:pt idx="7">
                  <c:v>20.276408793563807</c:v>
                </c:pt>
                <c:pt idx="8">
                  <c:v>19.719717786697192</c:v>
                </c:pt>
                <c:pt idx="9">
                  <c:v>19.045418582862975</c:v>
                </c:pt>
                <c:pt idx="10">
                  <c:v>18.991308053141783</c:v>
                </c:pt>
                <c:pt idx="11">
                  <c:v>18.223036932754876</c:v>
                </c:pt>
                <c:pt idx="12">
                  <c:v>18.001499235867378</c:v>
                </c:pt>
                <c:pt idx="13">
                  <c:v>17.841587416132413</c:v>
                </c:pt>
                <c:pt idx="14">
                  <c:v>17.425364737096</c:v>
                </c:pt>
                <c:pt idx="15">
                  <c:v>17.125482053954855</c:v>
                </c:pt>
                <c:pt idx="16">
                  <c:v>16.688789105446993</c:v>
                </c:pt>
                <c:pt idx="17">
                  <c:v>16.433482008263002</c:v>
                </c:pt>
                <c:pt idx="18">
                  <c:v>16.150404798486235</c:v>
                </c:pt>
                <c:pt idx="19">
                  <c:v>15.663960600372866</c:v>
                </c:pt>
                <c:pt idx="20">
                  <c:v>15.277258645028374</c:v>
                </c:pt>
                <c:pt idx="21">
                  <c:v>14.801663750961307</c:v>
                </c:pt>
                <c:pt idx="22">
                  <c:v>14.367149171274583</c:v>
                </c:pt>
                <c:pt idx="23">
                  <c:v>13.886625264419473</c:v>
                </c:pt>
                <c:pt idx="24">
                  <c:v>13.542829764571174</c:v>
                </c:pt>
                <c:pt idx="25">
                  <c:v>13.207299540972162</c:v>
                </c:pt>
                <c:pt idx="26">
                  <c:v>12.849781800725152</c:v>
                </c:pt>
                <c:pt idx="27">
                  <c:v>12.463605422314222</c:v>
                </c:pt>
                <c:pt idx="28">
                  <c:v>12.09494342673398</c:v>
                </c:pt>
                <c:pt idx="29">
                  <c:v>12.11105473940934</c:v>
                </c:pt>
                <c:pt idx="30">
                  <c:v>11.347189315518019</c:v>
                </c:pt>
                <c:pt idx="31">
                  <c:v>11.075779634795243</c:v>
                </c:pt>
                <c:pt idx="32">
                  <c:v>10.634058219820986</c:v>
                </c:pt>
                <c:pt idx="33">
                  <c:v>10.130528138528481</c:v>
                </c:pt>
                <c:pt idx="34">
                  <c:v>9.667511554450325</c:v>
                </c:pt>
                <c:pt idx="35">
                  <c:v>9.4364207648340042</c:v>
                </c:pt>
                <c:pt idx="36">
                  <c:v>8.7968984695119286</c:v>
                </c:pt>
                <c:pt idx="37">
                  <c:v>8.3782484199484752</c:v>
                </c:pt>
                <c:pt idx="38">
                  <c:v>8.0557108147789176</c:v>
                </c:pt>
                <c:pt idx="39">
                  <c:v>7.515960894244202</c:v>
                </c:pt>
                <c:pt idx="40">
                  <c:v>7.2290470547877188</c:v>
                </c:pt>
                <c:pt idx="41">
                  <c:v>6.7267764830891084</c:v>
                </c:pt>
                <c:pt idx="42">
                  <c:v>6.3213890279642104</c:v>
                </c:pt>
                <c:pt idx="43">
                  <c:v>5.9199380548211575</c:v>
                </c:pt>
                <c:pt idx="44">
                  <c:v>5.479340911390846</c:v>
                </c:pt>
                <c:pt idx="45">
                  <c:v>5.2032420227069238</c:v>
                </c:pt>
                <c:pt idx="46">
                  <c:v>4.8685393024285393</c:v>
                </c:pt>
                <c:pt idx="47">
                  <c:v>4.539681578156328</c:v>
                </c:pt>
                <c:pt idx="48">
                  <c:v>4.1488266931613076</c:v>
                </c:pt>
                <c:pt idx="49">
                  <c:v>3.8739233702900782</c:v>
                </c:pt>
                <c:pt idx="50">
                  <c:v>3.4586346612968142</c:v>
                </c:pt>
                <c:pt idx="51">
                  <c:v>2.9642552118709826</c:v>
                </c:pt>
                <c:pt idx="52">
                  <c:v>2.678932411596751</c:v>
                </c:pt>
                <c:pt idx="53">
                  <c:v>2.3428849594695453</c:v>
                </c:pt>
                <c:pt idx="54">
                  <c:v>1.9302993095595513</c:v>
                </c:pt>
                <c:pt idx="55">
                  <c:v>1.5559289954140361</c:v>
                </c:pt>
                <c:pt idx="56">
                  <c:v>1.1217242622015862</c:v>
                </c:pt>
                <c:pt idx="57">
                  <c:v>0.74887649705993542</c:v>
                </c:pt>
                <c:pt idx="58">
                  <c:v>0.44733106431780384</c:v>
                </c:pt>
                <c:pt idx="59">
                  <c:v>0.17196559567434216</c:v>
                </c:pt>
                <c:pt idx="60">
                  <c:v>0</c:v>
                </c:pt>
                <c:pt idx="61">
                  <c:v>-177.01049277356532</c:v>
                </c:pt>
                <c:pt idx="62">
                  <c:v>-1.474077543181425</c:v>
                </c:pt>
                <c:pt idx="63">
                  <c:v>-1.3919370530338946</c:v>
                </c:pt>
                <c:pt idx="64">
                  <c:v>-1.6714663742958484</c:v>
                </c:pt>
                <c:pt idx="65">
                  <c:v>-2.0030895702213347</c:v>
                </c:pt>
                <c:pt idx="66">
                  <c:v>-2.3524572219554809</c:v>
                </c:pt>
                <c:pt idx="67">
                  <c:v>-2.7213812550705612</c:v>
                </c:pt>
                <c:pt idx="68">
                  <c:v>-3.1392951434731873</c:v>
                </c:pt>
                <c:pt idx="69">
                  <c:v>-3.6467220606929396</c:v>
                </c:pt>
                <c:pt idx="70">
                  <c:v>-4.0562999792365408</c:v>
                </c:pt>
                <c:pt idx="71">
                  <c:v>-4.4618856967328053</c:v>
                </c:pt>
                <c:pt idx="72">
                  <c:v>-4.7809121804757044</c:v>
                </c:pt>
                <c:pt idx="73">
                  <c:v>-5.0847461963495864</c:v>
                </c:pt>
                <c:pt idx="74">
                  <c:v>-5.5077951169709509</c:v>
                </c:pt>
                <c:pt idx="75">
                  <c:v>-5.8608581664967447</c:v>
                </c:pt>
                <c:pt idx="76">
                  <c:v>-6.1519891116015941</c:v>
                </c:pt>
                <c:pt idx="77">
                  <c:v>-6.7104387321552066</c:v>
                </c:pt>
                <c:pt idx="78">
                  <c:v>-7.1284242511033202</c:v>
                </c:pt>
                <c:pt idx="79">
                  <c:v>-7.5671833799173527</c:v>
                </c:pt>
                <c:pt idx="80">
                  <c:v>-7.9869927237193545</c:v>
                </c:pt>
                <c:pt idx="81">
                  <c:v>-8.4405934172691435</c:v>
                </c:pt>
                <c:pt idx="82">
                  <c:v>-8.7989653266046499</c:v>
                </c:pt>
                <c:pt idx="83">
                  <c:v>-9.1343114326255144</c:v>
                </c:pt>
                <c:pt idx="84">
                  <c:v>-9.6297415338171408</c:v>
                </c:pt>
                <c:pt idx="85">
                  <c:v>-9.9646191124674015</c:v>
                </c:pt>
                <c:pt idx="86">
                  <c:v>-10.45354108769183</c:v>
                </c:pt>
                <c:pt idx="87">
                  <c:v>-10.600276958168051</c:v>
                </c:pt>
                <c:pt idx="88">
                  <c:v>-11.017646195715921</c:v>
                </c:pt>
                <c:pt idx="89">
                  <c:v>-11.532570715280494</c:v>
                </c:pt>
                <c:pt idx="90">
                  <c:v>-11.897870337886058</c:v>
                </c:pt>
                <c:pt idx="91">
                  <c:v>-12.27706356243942</c:v>
                </c:pt>
                <c:pt idx="92">
                  <c:v>-12.70621445327258</c:v>
                </c:pt>
                <c:pt idx="93">
                  <c:v>-13.090409587054545</c:v>
                </c:pt>
                <c:pt idx="94">
                  <c:v>-13.807558978008446</c:v>
                </c:pt>
                <c:pt idx="95">
                  <c:v>-14.2734419108653</c:v>
                </c:pt>
                <c:pt idx="96">
                  <c:v>-14.717591771000057</c:v>
                </c:pt>
                <c:pt idx="97">
                  <c:v>-15.368500134898452</c:v>
                </c:pt>
                <c:pt idx="98">
                  <c:v>-15.726849089998639</c:v>
                </c:pt>
                <c:pt idx="99">
                  <c:v>-16.250466504102377</c:v>
                </c:pt>
                <c:pt idx="100">
                  <c:v>-16.739872947309731</c:v>
                </c:pt>
                <c:pt idx="101">
                  <c:v>-17.054150824321397</c:v>
                </c:pt>
                <c:pt idx="102">
                  <c:v>-17.689400751230785</c:v>
                </c:pt>
                <c:pt idx="103">
                  <c:v>-18.084928909931978</c:v>
                </c:pt>
                <c:pt idx="104">
                  <c:v>-18.460697239424096</c:v>
                </c:pt>
                <c:pt idx="105">
                  <c:v>-18.659645852314402</c:v>
                </c:pt>
                <c:pt idx="106">
                  <c:v>-19.382185482425111</c:v>
                </c:pt>
                <c:pt idx="107">
                  <c:v>-19.893885179026555</c:v>
                </c:pt>
                <c:pt idx="108">
                  <c:v>-20.072821395618327</c:v>
                </c:pt>
                <c:pt idx="109">
                  <c:v>-20.734904626857556</c:v>
                </c:pt>
                <c:pt idx="110">
                  <c:v>-21.449366312038187</c:v>
                </c:pt>
                <c:pt idx="111">
                  <c:v>-22.004172114050558</c:v>
                </c:pt>
                <c:pt idx="112">
                  <c:v>-22.445971241994819</c:v>
                </c:pt>
                <c:pt idx="113">
                  <c:v>-22.221093263910927</c:v>
                </c:pt>
                <c:pt idx="114">
                  <c:v>-24.065193000413757</c:v>
                </c:pt>
                <c:pt idx="115">
                  <c:v>-24.018608590951576</c:v>
                </c:pt>
                <c:pt idx="116">
                  <c:v>-22.728264066055676</c:v>
                </c:pt>
                <c:pt idx="117">
                  <c:v>-25.13847746988624</c:v>
                </c:pt>
                <c:pt idx="118">
                  <c:v>-24.502027934640459</c:v>
                </c:pt>
                <c:pt idx="119">
                  <c:v>-25.592459514029581</c:v>
                </c:pt>
                <c:pt idx="120">
                  <c:v>-22.8053062091291</c:v>
                </c:pt>
              </c:numCache>
            </c:numRef>
          </c:xVal>
          <c:yVal>
            <c:numRef>
              <c:f>Intersections!$T$25:$T$160</c:f>
              <c:numCache>
                <c:formatCode>General</c:formatCode>
                <c:ptCount val="136"/>
                <c:pt idx="0">
                  <c:v>36.380390341580913</c:v>
                </c:pt>
                <c:pt idx="1">
                  <c:v>37.284339449923117</c:v>
                </c:pt>
                <c:pt idx="2">
                  <c:v>41.545637398047653</c:v>
                </c:pt>
                <c:pt idx="3">
                  <c:v>45.315365930650358</c:v>
                </c:pt>
                <c:pt idx="4">
                  <c:v>48.606129855944928</c:v>
                </c:pt>
                <c:pt idx="5">
                  <c:v>49.919575305637949</c:v>
                </c:pt>
                <c:pt idx="6">
                  <c:v>50.356704105187411</c:v>
                </c:pt>
                <c:pt idx="7">
                  <c:v>54.009679995872261</c:v>
                </c:pt>
                <c:pt idx="8">
                  <c:v>57.846441653006281</c:v>
                </c:pt>
                <c:pt idx="9">
                  <c:v>61.900030704741702</c:v>
                </c:pt>
                <c:pt idx="10">
                  <c:v>64.814692409378353</c:v>
                </c:pt>
                <c:pt idx="11">
                  <c:v>65.650276589518697</c:v>
                </c:pt>
                <c:pt idx="13">
                  <c:v>71.561733571134582</c:v>
                </c:pt>
                <c:pt idx="14">
                  <c:v>75.896881530607388</c:v>
                </c:pt>
                <c:pt idx="15">
                  <c:v>82.187446428596544</c:v>
                </c:pt>
                <c:pt idx="16">
                  <c:v>85.797536503098357</c:v>
                </c:pt>
                <c:pt idx="17">
                  <c:v>89.683401441076853</c:v>
                </c:pt>
                <c:pt idx="18">
                  <c:v>95.001087350281864</c:v>
                </c:pt>
                <c:pt idx="19">
                  <c:v>97.766514894380762</c:v>
                </c:pt>
                <c:pt idx="20">
                  <c:v>104.39177525082469</c:v>
                </c:pt>
                <c:pt idx="21">
                  <c:v>104.7974322493033</c:v>
                </c:pt>
                <c:pt idx="22">
                  <c:v>107.93445798477821</c:v>
                </c:pt>
                <c:pt idx="23">
                  <c:v>110.8448512597667</c:v>
                </c:pt>
                <c:pt idx="24">
                  <c:v>117.01261355208401</c:v>
                </c:pt>
                <c:pt idx="25">
                  <c:v>117.27328138722881</c:v>
                </c:pt>
                <c:pt idx="26">
                  <c:v>123.1128269561848</c:v>
                </c:pt>
                <c:pt idx="27">
                  <c:v>127.6822527070189</c:v>
                </c:pt>
                <c:pt idx="28">
                  <c:v>127.4551344290891</c:v>
                </c:pt>
                <c:pt idx="29">
                  <c:v>134.42961877085321</c:v>
                </c:pt>
                <c:pt idx="30">
                  <c:v>137.92774409741921</c:v>
                </c:pt>
                <c:pt idx="31">
                  <c:v>139.17021617477641</c:v>
                </c:pt>
                <c:pt idx="32">
                  <c:v>138.6324606282665</c:v>
                </c:pt>
                <c:pt idx="33">
                  <c:v>137.47153928824511</c:v>
                </c:pt>
                <c:pt idx="34">
                  <c:v>146.23222438900831</c:v>
                </c:pt>
                <c:pt idx="35">
                  <c:v>141.33293567171441</c:v>
                </c:pt>
                <c:pt idx="38">
                  <c:v>139.11456289438109</c:v>
                </c:pt>
                <c:pt idx="39">
                  <c:v>141.83395359731861</c:v>
                </c:pt>
                <c:pt idx="40">
                  <c:v>142.90870064866371</c:v>
                </c:pt>
                <c:pt idx="41">
                  <c:v>142.57186555232511</c:v>
                </c:pt>
                <c:pt idx="42">
                  <c:v>143.57082169760329</c:v>
                </c:pt>
                <c:pt idx="43">
                  <c:v>140.79214566958771</c:v>
                </c:pt>
                <c:pt idx="46">
                  <c:v>141.27367870433591</c:v>
                </c:pt>
                <c:pt idx="48">
                  <c:v>142.6946483294071</c:v>
                </c:pt>
                <c:pt idx="50">
                  <c:v>140.50928419367091</c:v>
                </c:pt>
                <c:pt idx="51">
                  <c:v>142.30577164851849</c:v>
                </c:pt>
                <c:pt idx="52">
                  <c:v>145.0328932333594</c:v>
                </c:pt>
                <c:pt idx="53">
                  <c:v>142.18580050365489</c:v>
                </c:pt>
                <c:pt idx="54">
                  <c:v>145.38676942727659</c:v>
                </c:pt>
                <c:pt idx="55">
                  <c:v>145.17623313597821</c:v>
                </c:pt>
                <c:pt idx="56">
                  <c:v>148.53870336808231</c:v>
                </c:pt>
                <c:pt idx="57">
                  <c:v>146.8824385833413</c:v>
                </c:pt>
                <c:pt idx="58">
                  <c:v>147.35312799270611</c:v>
                </c:pt>
                <c:pt idx="59">
                  <c:v>146.57034732082289</c:v>
                </c:pt>
                <c:pt idx="61">
                  <c:v>141.45011001155081</c:v>
                </c:pt>
                <c:pt idx="64">
                  <c:v>140.57565288102001</c:v>
                </c:pt>
                <c:pt idx="65">
                  <c:v>144.08155843738251</c:v>
                </c:pt>
                <c:pt idx="66">
                  <c:v>141.75349896628219</c:v>
                </c:pt>
                <c:pt idx="67">
                  <c:v>140.5610679439952</c:v>
                </c:pt>
                <c:pt idx="68">
                  <c:v>139.32067698659301</c:v>
                </c:pt>
                <c:pt idx="69">
                  <c:v>144.8390105367163</c:v>
                </c:pt>
                <c:pt idx="70">
                  <c:v>141.44250158124959</c:v>
                </c:pt>
                <c:pt idx="71">
                  <c:v>136.81428917942421</c:v>
                </c:pt>
                <c:pt idx="72">
                  <c:v>139.40623823389049</c:v>
                </c:pt>
                <c:pt idx="73">
                  <c:v>136.56287581399729</c:v>
                </c:pt>
                <c:pt idx="74">
                  <c:v>124.3778099856863</c:v>
                </c:pt>
                <c:pt idx="75">
                  <c:v>136.63039470697379</c:v>
                </c:pt>
                <c:pt idx="76">
                  <c:v>134.47411433770469</c:v>
                </c:pt>
                <c:pt idx="77">
                  <c:v>130.07401166190311</c:v>
                </c:pt>
                <c:pt idx="78">
                  <c:v>127.727859733324</c:v>
                </c:pt>
                <c:pt idx="79">
                  <c:v>127.5680130510309</c:v>
                </c:pt>
                <c:pt idx="80">
                  <c:v>124.5233108034334</c:v>
                </c:pt>
                <c:pt idx="81">
                  <c:v>123.19296429366629</c:v>
                </c:pt>
                <c:pt idx="82">
                  <c:v>118.06308037921541</c:v>
                </c:pt>
                <c:pt idx="83">
                  <c:v>113.1356362250946</c:v>
                </c:pt>
                <c:pt idx="84">
                  <c:v>106.88324062791639</c:v>
                </c:pt>
                <c:pt idx="85">
                  <c:v>107.68126088197231</c:v>
                </c:pt>
                <c:pt idx="86">
                  <c:v>107.7087087514582</c:v>
                </c:pt>
                <c:pt idx="87">
                  <c:v>101.804280591522</c:v>
                </c:pt>
                <c:pt idx="88">
                  <c:v>94.868480803130012</c:v>
                </c:pt>
                <c:pt idx="90">
                  <c:v>89.973454049818898</c:v>
                </c:pt>
                <c:pt idx="92">
                  <c:v>90.481448724387548</c:v>
                </c:pt>
                <c:pt idx="93">
                  <c:v>88.051392931691893</c:v>
                </c:pt>
                <c:pt idx="94">
                  <c:v>80.089730852388939</c:v>
                </c:pt>
                <c:pt idx="95">
                  <c:v>77.910749575436142</c:v>
                </c:pt>
                <c:pt idx="96">
                  <c:v>75.429967552280857</c:v>
                </c:pt>
                <c:pt idx="97">
                  <c:v>72.333165773365195</c:v>
                </c:pt>
                <c:pt idx="98">
                  <c:v>67.995977285864157</c:v>
                </c:pt>
                <c:pt idx="99">
                  <c:v>66.8262430438797</c:v>
                </c:pt>
                <c:pt idx="101">
                  <c:v>63.703320938130616</c:v>
                </c:pt>
                <c:pt idx="102">
                  <c:v>60.416054442290957</c:v>
                </c:pt>
                <c:pt idx="103">
                  <c:v>60.84253766930145</c:v>
                </c:pt>
                <c:pt idx="104">
                  <c:v>60.559059773768183</c:v>
                </c:pt>
                <c:pt idx="105">
                  <c:v>57.749353049492463</c:v>
                </c:pt>
                <c:pt idx="107">
                  <c:v>55.258009633630998</c:v>
                </c:pt>
                <c:pt idx="108">
                  <c:v>53.722399325074257</c:v>
                </c:pt>
                <c:pt idx="109">
                  <c:v>55.552152993682007</c:v>
                </c:pt>
                <c:pt idx="110">
                  <c:v>52.611918591317362</c:v>
                </c:pt>
                <c:pt idx="112">
                  <c:v>49.649387530495339</c:v>
                </c:pt>
                <c:pt idx="114">
                  <c:v>47.12374985024428</c:v>
                </c:pt>
                <c:pt idx="115">
                  <c:v>46.636711151145199</c:v>
                </c:pt>
                <c:pt idx="116">
                  <c:v>44.491892895641087</c:v>
                </c:pt>
                <c:pt idx="117">
                  <c:v>41.047267179490987</c:v>
                </c:pt>
                <c:pt idx="118">
                  <c:v>37.118406603621111</c:v>
                </c:pt>
                <c:pt idx="119">
                  <c:v>37.775601854443153</c:v>
                </c:pt>
                <c:pt idx="120">
                  <c:v>36.332424490135239</c:v>
                </c:pt>
                <c:pt idx="121">
                  <c:v>35.504273020296168</c:v>
                </c:pt>
                <c:pt idx="122">
                  <c:v>40.744448312757093</c:v>
                </c:pt>
                <c:pt idx="123">
                  <c:v>34.030956388512863</c:v>
                </c:pt>
                <c:pt idx="124">
                  <c:v>24.62271090722767</c:v>
                </c:pt>
                <c:pt idx="125">
                  <c:v>17.08497532557638</c:v>
                </c:pt>
                <c:pt idx="126">
                  <c:v>3.683135453317997</c:v>
                </c:pt>
                <c:pt idx="127">
                  <c:v>4.9539482604564888</c:v>
                </c:pt>
                <c:pt idx="128">
                  <c:v>2.5599267012651161</c:v>
                </c:pt>
                <c:pt idx="129">
                  <c:v>1.7767875535584949</c:v>
                </c:pt>
                <c:pt idx="130">
                  <c:v>0.27116166236090161</c:v>
                </c:pt>
                <c:pt idx="131">
                  <c:v>0.91792266685722457</c:v>
                </c:pt>
                <c:pt idx="132">
                  <c:v>0.53607423094219475</c:v>
                </c:pt>
                <c:pt idx="133">
                  <c:v>0.58307644298689265</c:v>
                </c:pt>
                <c:pt idx="134">
                  <c:v>0.50046104519381118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6A98-488F-B1D5-9D84E46AF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7917312"/>
        <c:axId val="1757915392"/>
      </c:scatterChart>
      <c:valAx>
        <c:axId val="1757917312"/>
        <c:scaling>
          <c:orientation val="minMax"/>
          <c:min val="-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TW" sz="1000" b="0" i="0" u="none" strike="noStrike" baseline="0">
                    <a:effectLst/>
                  </a:rPr>
                  <a:t>角度 (</a:t>
                </a:r>
                <a:r>
                  <a:rPr lang="zh-CN" altLang="en-US" sz="1000" b="0" i="0" u="none" strike="noStrike" baseline="0">
                    <a:effectLst/>
                  </a:rPr>
                  <a:t>𝜃</a:t>
                </a:r>
                <a:r>
                  <a:rPr lang="zh-CN" altLang="zh-TW" sz="1000" b="0" i="0" u="none" strike="noStrike" baseline="0">
                    <a:effectLst/>
                  </a:rPr>
                  <a:t>) 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7915392"/>
        <c:crosses val="autoZero"/>
        <c:crossBetween val="midCat"/>
      </c:valAx>
      <c:valAx>
        <c:axId val="175791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A-value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7917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(z=2) </a:t>
            </a:r>
            <a:r>
              <a:rPr lang="zh-CN" altLang="zh-TW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角度 (</a:t>
            </a:r>
            <a:r>
              <a:rPr lang="zh-CN" alt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𝜃</a:t>
            </a:r>
            <a:r>
              <a:rPr lang="zh-CN" altLang="zh-TW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對 </a:t>
            </a:r>
            <a:r>
              <a:rPr lang="zh-CN" alt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𝐴</a:t>
            </a:r>
            <a:r>
              <a:rPr lang="zh-CN" altLang="zh-TW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值之關係圖</a:t>
            </a:r>
            <a:endParaRPr lang="zh-TW" altLang="zh-TW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Intersections!$P$25:$P$145</c:f>
              <c:numCache>
                <c:formatCode>General</c:formatCode>
                <c:ptCount val="121"/>
                <c:pt idx="0">
                  <c:v>0.3919261855777969</c:v>
                </c:pt>
                <c:pt idx="1">
                  <c:v>0.38647130435371446</c:v>
                </c:pt>
                <c:pt idx="2">
                  <c:v>0.38711523014084159</c:v>
                </c:pt>
                <c:pt idx="3">
                  <c:v>0.36630129195529149</c:v>
                </c:pt>
                <c:pt idx="4">
                  <c:v>0.37184057534863335</c:v>
                </c:pt>
                <c:pt idx="5">
                  <c:v>0.3546612558253166</c:v>
                </c:pt>
                <c:pt idx="6">
                  <c:v>0.35637796828283252</c:v>
                </c:pt>
                <c:pt idx="7">
                  <c:v>0.35389009392801962</c:v>
                </c:pt>
                <c:pt idx="8">
                  <c:v>0.34417400294195488</c:v>
                </c:pt>
                <c:pt idx="9">
                  <c:v>0.33240526169147144</c:v>
                </c:pt>
                <c:pt idx="10">
                  <c:v>0.33146085478783838</c:v>
                </c:pt>
                <c:pt idx="11">
                  <c:v>0.31805199418910113</c:v>
                </c:pt>
                <c:pt idx="12">
                  <c:v>0.31418543196112902</c:v>
                </c:pt>
                <c:pt idx="13">
                  <c:v>0.31139444419389828</c:v>
                </c:pt>
                <c:pt idx="14">
                  <c:v>0.30412998802324132</c:v>
                </c:pt>
                <c:pt idx="15">
                  <c:v>0.2988960478327134</c:v>
                </c:pt>
                <c:pt idx="16">
                  <c:v>0.29127431806100912</c:v>
                </c:pt>
                <c:pt idx="17">
                  <c:v>0.28681836861143939</c:v>
                </c:pt>
                <c:pt idx="18">
                  <c:v>0.28187773926347615</c:v>
                </c:pt>
                <c:pt idx="19">
                  <c:v>0.27338768637917421</c:v>
                </c:pt>
                <c:pt idx="20">
                  <c:v>0.26663846403451275</c:v>
                </c:pt>
                <c:pt idx="21">
                  <c:v>0.25833776722736879</c:v>
                </c:pt>
                <c:pt idx="22">
                  <c:v>0.25075405716391619</c:v>
                </c:pt>
                <c:pt idx="23">
                  <c:v>0.24236733285474799</c:v>
                </c:pt>
                <c:pt idx="24">
                  <c:v>0.23636696942885549</c:v>
                </c:pt>
                <c:pt idx="25">
                  <c:v>0.23051086228709994</c:v>
                </c:pt>
                <c:pt idx="26">
                  <c:v>0.22427100058549976</c:v>
                </c:pt>
                <c:pt idx="27">
                  <c:v>0.21753095128880151</c:v>
                </c:pt>
                <c:pt idx="28">
                  <c:v>0.2110965856389535</c:v>
                </c:pt>
                <c:pt idx="29">
                  <c:v>0.21137778109195682</c:v>
                </c:pt>
                <c:pt idx="30">
                  <c:v>0.19804581440291114</c:v>
                </c:pt>
                <c:pt idx="31">
                  <c:v>0.19330882185251208</c:v>
                </c:pt>
                <c:pt idx="32">
                  <c:v>0.18559932878464314</c:v>
                </c:pt>
                <c:pt idx="33">
                  <c:v>0.17681107098325421</c:v>
                </c:pt>
                <c:pt idx="34">
                  <c:v>0.16872990709975322</c:v>
                </c:pt>
                <c:pt idx="35">
                  <c:v>0.16469661194991492</c:v>
                </c:pt>
                <c:pt idx="36">
                  <c:v>0.15353484225663316</c:v>
                </c:pt>
                <c:pt idx="37">
                  <c:v>0.14622802047811345</c:v>
                </c:pt>
                <c:pt idx="38">
                  <c:v>0.14059867730640718</c:v>
                </c:pt>
                <c:pt idx="39">
                  <c:v>0.13117826405569866</c:v>
                </c:pt>
                <c:pt idx="40">
                  <c:v>0.12617067288764461</c:v>
                </c:pt>
                <c:pt idx="41">
                  <c:v>0.1174043976756296</c:v>
                </c:pt>
                <c:pt idx="42">
                  <c:v>0.11032905183741937</c:v>
                </c:pt>
                <c:pt idx="43">
                  <c:v>0.10332241057073777</c:v>
                </c:pt>
                <c:pt idx="44">
                  <c:v>9.5632539742997125E-2</c:v>
                </c:pt>
                <c:pt idx="45">
                  <c:v>9.081370507436537E-2</c:v>
                </c:pt>
                <c:pt idx="46">
                  <c:v>8.4972040590125975E-2</c:v>
                </c:pt>
                <c:pt idx="47">
                  <c:v>7.9232390530960206E-2</c:v>
                </c:pt>
                <c:pt idx="48">
                  <c:v>7.2410685890293314E-2</c:v>
                </c:pt>
                <c:pt idx="49">
                  <c:v>6.761271778151734E-2</c:v>
                </c:pt>
                <c:pt idx="50">
                  <c:v>6.03645624632283E-2</c:v>
                </c:pt>
                <c:pt idx="51">
                  <c:v>5.1736013316550755E-2</c:v>
                </c:pt>
                <c:pt idx="52">
                  <c:v>4.6756191020755233E-2</c:v>
                </c:pt>
                <c:pt idx="53">
                  <c:v>4.0891056538197468E-2</c:v>
                </c:pt>
                <c:pt idx="54">
                  <c:v>3.3690078500787424E-2</c:v>
                </c:pt>
                <c:pt idx="55">
                  <c:v>2.7156083897222683E-2</c:v>
                </c:pt>
                <c:pt idx="56">
                  <c:v>1.9577781674921857E-2</c:v>
                </c:pt>
                <c:pt idx="57">
                  <c:v>1.3070360564497507E-2</c:v>
                </c:pt>
                <c:pt idx="58">
                  <c:v>7.8073999187961984E-3</c:v>
                </c:pt>
                <c:pt idx="59">
                  <c:v>3.0013658446705893E-3</c:v>
                </c:pt>
                <c:pt idx="60">
                  <c:v>0</c:v>
                </c:pt>
                <c:pt idx="61">
                  <c:v>-3.0894159094763447</c:v>
                </c:pt>
                <c:pt idx="62">
                  <c:v>-2.5727506558224755E-2</c:v>
                </c:pt>
                <c:pt idx="63">
                  <c:v>-2.4293884555948386E-2</c:v>
                </c:pt>
                <c:pt idx="64">
                  <c:v>-2.9172591567834472E-2</c:v>
                </c:pt>
                <c:pt idx="65">
                  <c:v>-3.4960508212720454E-2</c:v>
                </c:pt>
                <c:pt idx="66">
                  <c:v>-4.1058124035442178E-2</c:v>
                </c:pt>
                <c:pt idx="67">
                  <c:v>-4.7497063103036918E-2</c:v>
                </c:pt>
                <c:pt idx="68">
                  <c:v>-5.4791036445474894E-2</c:v>
                </c:pt>
                <c:pt idx="69">
                  <c:v>-6.3647306864204278E-2</c:v>
                </c:pt>
                <c:pt idx="70">
                  <c:v>-7.079579008625525E-2</c:v>
                </c:pt>
                <c:pt idx="71">
                  <c:v>-7.7874596255628648E-2</c:v>
                </c:pt>
                <c:pt idx="72">
                  <c:v>-8.3442658798002389E-2</c:v>
                </c:pt>
                <c:pt idx="73">
                  <c:v>-8.874556275455836E-2</c:v>
                </c:pt>
                <c:pt idx="74">
                  <c:v>-9.6129159316409307E-2</c:v>
                </c:pt>
                <c:pt idx="75">
                  <c:v>-0.10229127199776622</c:v>
                </c:pt>
                <c:pt idx="76">
                  <c:v>-0.1073724655442887</c:v>
                </c:pt>
                <c:pt idx="77">
                  <c:v>-0.11711925012946223</c:v>
                </c:pt>
                <c:pt idx="78">
                  <c:v>-0.12441447366076397</c:v>
                </c:pt>
                <c:pt idx="79">
                  <c:v>-0.13207226508175074</c:v>
                </c:pt>
                <c:pt idx="80">
                  <c:v>-0.13939932036173253</c:v>
                </c:pt>
                <c:pt idx="81">
                  <c:v>-0.14731614595350617</c:v>
                </c:pt>
                <c:pt idx="82">
                  <c:v>-0.15357091571806936</c:v>
                </c:pt>
                <c:pt idx="83">
                  <c:v>-0.15942380940187539</c:v>
                </c:pt>
                <c:pt idx="84">
                  <c:v>-0.16807069588115797</c:v>
                </c:pt>
                <c:pt idx="85">
                  <c:v>-0.1739154122197113</c:v>
                </c:pt>
                <c:pt idx="86">
                  <c:v>-0.1824487104727317</c:v>
                </c:pt>
                <c:pt idx="87">
                  <c:v>-0.1850097345433217</c:v>
                </c:pt>
                <c:pt idx="88">
                  <c:v>-0.19229420193507041</c:v>
                </c:pt>
                <c:pt idx="89">
                  <c:v>-0.20128133020072214</c:v>
                </c:pt>
                <c:pt idx="90">
                  <c:v>-0.20765701137148196</c:v>
                </c:pt>
                <c:pt idx="91">
                  <c:v>-0.2142751816411923</c:v>
                </c:pt>
                <c:pt idx="92">
                  <c:v>-0.2217652776740977</c:v>
                </c:pt>
                <c:pt idx="93">
                  <c:v>-0.2284707477287331</c:v>
                </c:pt>
                <c:pt idx="94">
                  <c:v>-0.24098736582955071</c:v>
                </c:pt>
                <c:pt idx="95">
                  <c:v>-0.24911855693675045</c:v>
                </c:pt>
                <c:pt idx="96">
                  <c:v>-0.25687043436837431</c:v>
                </c:pt>
                <c:pt idx="97">
                  <c:v>-0.26823092844717067</c:v>
                </c:pt>
                <c:pt idx="98">
                  <c:v>-0.27448529758475027</c:v>
                </c:pt>
                <c:pt idx="99">
                  <c:v>-0.28362414548163906</c:v>
                </c:pt>
                <c:pt idx="100">
                  <c:v>-0.29216589929608205</c:v>
                </c:pt>
                <c:pt idx="101">
                  <c:v>-0.29765108301611343</c:v>
                </c:pt>
                <c:pt idx="102">
                  <c:v>-0.30873828581373552</c:v>
                </c:pt>
                <c:pt idx="103">
                  <c:v>-0.31564155446742204</c:v>
                </c:pt>
                <c:pt idx="104">
                  <c:v>-0.3221999490417784</c:v>
                </c:pt>
                <c:pt idx="105">
                  <c:v>-0.32567225737898986</c:v>
                </c:pt>
                <c:pt idx="106">
                  <c:v>-0.33828295290056376</c:v>
                </c:pt>
                <c:pt idx="107">
                  <c:v>-0.34721379738771496</c:v>
                </c:pt>
                <c:pt idx="108">
                  <c:v>-0.35033682351830309</c:v>
                </c:pt>
                <c:pt idx="109">
                  <c:v>-0.36189235582567059</c:v>
                </c:pt>
                <c:pt idx="110">
                  <c:v>-0.37436206461141985</c:v>
                </c:pt>
                <c:pt idx="111">
                  <c:v>-0.38404525256570343</c:v>
                </c:pt>
                <c:pt idx="112">
                  <c:v>-0.39175610198077049</c:v>
                </c:pt>
                <c:pt idx="113">
                  <c:v>-0.38783124084797893</c:v>
                </c:pt>
                <c:pt idx="114">
                  <c:v>-0.42001685298511315</c:v>
                </c:pt>
                <c:pt idx="115">
                  <c:v>-0.4192038016599009</c:v>
                </c:pt>
                <c:pt idx="116">
                  <c:v>-0.39668304121538545</c:v>
                </c:pt>
                <c:pt idx="117">
                  <c:v>-0.43874920078792856</c:v>
                </c:pt>
                <c:pt idx="118">
                  <c:v>-0.42764106087510201</c:v>
                </c:pt>
                <c:pt idx="119">
                  <c:v>-0.44667268220316414</c:v>
                </c:pt>
                <c:pt idx="120">
                  <c:v>-0.39802768027480928</c:v>
                </c:pt>
              </c:numCache>
            </c:numRef>
          </c:xVal>
          <c:yVal>
            <c:numRef>
              <c:f>Intersections!$Z$25:$Z$145</c:f>
              <c:numCache>
                <c:formatCode>General</c:formatCode>
                <c:ptCount val="121"/>
                <c:pt idx="0">
                  <c:v>20.779249408409559</c:v>
                </c:pt>
                <c:pt idx="1">
                  <c:v>23.39299934935244</c:v>
                </c:pt>
                <c:pt idx="2">
                  <c:v>23.13425345293307</c:v>
                </c:pt>
                <c:pt idx="3">
                  <c:v>24.39214881401595</c:v>
                </c:pt>
                <c:pt idx="4">
                  <c:v>26.813934853961509</c:v>
                </c:pt>
                <c:pt idx="5">
                  <c:v>27.83304230692746</c:v>
                </c:pt>
                <c:pt idx="6">
                  <c:v>28.847260270265259</c:v>
                </c:pt>
                <c:pt idx="7">
                  <c:v>29.730237783107331</c:v>
                </c:pt>
                <c:pt idx="8">
                  <c:v>30.988723994095121</c:v>
                </c:pt>
                <c:pt idx="9">
                  <c:v>32.248624226022258</c:v>
                </c:pt>
                <c:pt idx="10">
                  <c:v>33.374445163665193</c:v>
                </c:pt>
                <c:pt idx="11">
                  <c:v>36.076792442464942</c:v>
                </c:pt>
                <c:pt idx="12">
                  <c:v>36.110671010659452</c:v>
                </c:pt>
                <c:pt idx="13">
                  <c:v>39.90239518317793</c:v>
                </c:pt>
                <c:pt idx="14">
                  <c:v>41.75802345732447</c:v>
                </c:pt>
                <c:pt idx="15">
                  <c:v>42.332111490900303</c:v>
                </c:pt>
                <c:pt idx="16">
                  <c:v>43.927753877154331</c:v>
                </c:pt>
                <c:pt idx="17">
                  <c:v>45.220913375221457</c:v>
                </c:pt>
                <c:pt idx="18">
                  <c:v>47.051782291660913</c:v>
                </c:pt>
                <c:pt idx="19">
                  <c:v>48.500709321854181</c:v>
                </c:pt>
                <c:pt idx="20">
                  <c:v>50.396887956549442</c:v>
                </c:pt>
                <c:pt idx="21">
                  <c:v>52.69432073123405</c:v>
                </c:pt>
                <c:pt idx="22">
                  <c:v>53.788607183118721</c:v>
                </c:pt>
                <c:pt idx="23">
                  <c:v>54.797071024802463</c:v>
                </c:pt>
                <c:pt idx="24">
                  <c:v>56.658638665073369</c:v>
                </c:pt>
                <c:pt idx="25">
                  <c:v>58.47631499576957</c:v>
                </c:pt>
                <c:pt idx="26">
                  <c:v>60.613722212947494</c:v>
                </c:pt>
                <c:pt idx="27">
                  <c:v>61.959483136105469</c:v>
                </c:pt>
                <c:pt idx="29">
                  <c:v>65.370385935237309</c:v>
                </c:pt>
                <c:pt idx="30">
                  <c:v>65.944589971307636</c:v>
                </c:pt>
                <c:pt idx="32">
                  <c:v>71.785815088945583</c:v>
                </c:pt>
                <c:pt idx="33">
                  <c:v>72.128782073447127</c:v>
                </c:pt>
                <c:pt idx="34">
                  <c:v>75.683468538222783</c:v>
                </c:pt>
                <c:pt idx="36">
                  <c:v>79.363853559968945</c:v>
                </c:pt>
                <c:pt idx="37">
                  <c:v>80.671525948639044</c:v>
                </c:pt>
                <c:pt idx="39">
                  <c:v>85.7992905653321</c:v>
                </c:pt>
                <c:pt idx="40">
                  <c:v>87.082932565225875</c:v>
                </c:pt>
                <c:pt idx="41">
                  <c:v>89.325771521066784</c:v>
                </c:pt>
                <c:pt idx="42">
                  <c:v>90.22811531178084</c:v>
                </c:pt>
                <c:pt idx="43">
                  <c:v>91.778078809145612</c:v>
                </c:pt>
                <c:pt idx="44">
                  <c:v>89.37317428083567</c:v>
                </c:pt>
                <c:pt idx="45">
                  <c:v>94.439885843427703</c:v>
                </c:pt>
                <c:pt idx="46">
                  <c:v>91.832411138967259</c:v>
                </c:pt>
                <c:pt idx="47">
                  <c:v>93.267206724574734</c:v>
                </c:pt>
                <c:pt idx="49">
                  <c:v>92.623291223930664</c:v>
                </c:pt>
                <c:pt idx="50">
                  <c:v>93.47875176906112</c:v>
                </c:pt>
                <c:pt idx="51">
                  <c:v>92.982121094711459</c:v>
                </c:pt>
                <c:pt idx="52">
                  <c:v>94.536439213490837</c:v>
                </c:pt>
                <c:pt idx="54">
                  <c:v>96.116375741964305</c:v>
                </c:pt>
                <c:pt idx="56">
                  <c:v>100.3817100616602</c:v>
                </c:pt>
                <c:pt idx="57">
                  <c:v>96.565816192158536</c:v>
                </c:pt>
                <c:pt idx="58">
                  <c:v>96.766360332111461</c:v>
                </c:pt>
                <c:pt idx="59">
                  <c:v>95.999191307114756</c:v>
                </c:pt>
                <c:pt idx="60">
                  <c:v>95.539373301821314</c:v>
                </c:pt>
                <c:pt idx="61">
                  <c:v>93.550107527231816</c:v>
                </c:pt>
                <c:pt idx="63">
                  <c:v>93.09213999622034</c:v>
                </c:pt>
                <c:pt idx="64">
                  <c:v>89.310483739297624</c:v>
                </c:pt>
                <c:pt idx="65">
                  <c:v>91.283726096893062</c:v>
                </c:pt>
                <c:pt idx="66">
                  <c:v>90.887153290543793</c:v>
                </c:pt>
                <c:pt idx="67">
                  <c:v>89.974612434812244</c:v>
                </c:pt>
                <c:pt idx="68">
                  <c:v>89.046191424712674</c:v>
                </c:pt>
                <c:pt idx="69">
                  <c:v>84.948496417518641</c:v>
                </c:pt>
                <c:pt idx="71">
                  <c:v>87.289783077089012</c:v>
                </c:pt>
                <c:pt idx="72">
                  <c:v>86.58763481967361</c:v>
                </c:pt>
                <c:pt idx="74">
                  <c:v>81.547417757470598</c:v>
                </c:pt>
                <c:pt idx="75">
                  <c:v>83.344837980603131</c:v>
                </c:pt>
                <c:pt idx="76">
                  <c:v>78.975806603716748</c:v>
                </c:pt>
                <c:pt idx="77">
                  <c:v>80.079722880850412</c:v>
                </c:pt>
                <c:pt idx="78">
                  <c:v>78.540930647704954</c:v>
                </c:pt>
                <c:pt idx="79">
                  <c:v>73.504241954417125</c:v>
                </c:pt>
                <c:pt idx="80">
                  <c:v>71.689448103942027</c:v>
                </c:pt>
                <c:pt idx="81">
                  <c:v>69.408736552353375</c:v>
                </c:pt>
                <c:pt idx="82">
                  <c:v>67.930787488828656</c:v>
                </c:pt>
                <c:pt idx="83">
                  <c:v>66.487872299819159</c:v>
                </c:pt>
                <c:pt idx="85">
                  <c:v>63.453117735451677</c:v>
                </c:pt>
                <c:pt idx="86">
                  <c:v>61.022487264331041</c:v>
                </c:pt>
                <c:pt idx="87">
                  <c:v>57.22463312051859</c:v>
                </c:pt>
                <c:pt idx="89">
                  <c:v>57.63609883649363</c:v>
                </c:pt>
                <c:pt idx="91">
                  <c:v>54.009461344951077</c:v>
                </c:pt>
                <c:pt idx="92">
                  <c:v>51.450432041546946</c:v>
                </c:pt>
                <c:pt idx="93">
                  <c:v>48.853132366859057</c:v>
                </c:pt>
                <c:pt idx="94">
                  <c:v>46.929847237016908</c:v>
                </c:pt>
                <c:pt idx="95">
                  <c:v>44.691772534838087</c:v>
                </c:pt>
                <c:pt idx="96">
                  <c:v>43.622755392636321</c:v>
                </c:pt>
                <c:pt idx="97">
                  <c:v>42.139259079813577</c:v>
                </c:pt>
                <c:pt idx="98">
                  <c:v>39.312938914374101</c:v>
                </c:pt>
                <c:pt idx="99">
                  <c:v>37.816485511347508</c:v>
                </c:pt>
                <c:pt idx="100">
                  <c:v>35.997547893281151</c:v>
                </c:pt>
                <c:pt idx="101">
                  <c:v>33.722874226411527</c:v>
                </c:pt>
                <c:pt idx="102">
                  <c:v>32.799039578720453</c:v>
                </c:pt>
                <c:pt idx="104">
                  <c:v>32.172698486875078</c:v>
                </c:pt>
                <c:pt idx="105">
                  <c:v>30.152562644100591</c:v>
                </c:pt>
                <c:pt idx="106">
                  <c:v>29.401592279312979</c:v>
                </c:pt>
                <c:pt idx="107">
                  <c:v>28.792110666970711</c:v>
                </c:pt>
                <c:pt idx="108">
                  <c:v>28.017853221973489</c:v>
                </c:pt>
                <c:pt idx="110">
                  <c:v>26.39741971761336</c:v>
                </c:pt>
                <c:pt idx="111">
                  <c:v>24.968182455268</c:v>
                </c:pt>
                <c:pt idx="113">
                  <c:v>23.511633099804371</c:v>
                </c:pt>
                <c:pt idx="114">
                  <c:v>22.328383487555332</c:v>
                </c:pt>
                <c:pt idx="115">
                  <c:v>20.70506310559319</c:v>
                </c:pt>
                <c:pt idx="116">
                  <c:v>19.549207918132311</c:v>
                </c:pt>
                <c:pt idx="118">
                  <c:v>19.50378211307153</c:v>
                </c:pt>
                <c:pt idx="119">
                  <c:v>17.606504982608829</c:v>
                </c:pt>
                <c:pt idx="120">
                  <c:v>15.132802277249811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F036-4C93-928C-4476E5DE1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2457840"/>
        <c:axId val="1872460240"/>
      </c:scatterChart>
      <c:valAx>
        <c:axId val="187245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角度 (</a:t>
                </a: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𝜃</a:t>
                </a: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) 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2460240"/>
        <c:crosses val="autoZero"/>
        <c:crossBetween val="midCat"/>
      </c:valAx>
      <c:valAx>
        <c:axId val="187246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A-value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2457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(z=4) </a:t>
            </a:r>
            <a:r>
              <a:rPr lang="zh-CN" altLang="zh-TW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角度 (</a:t>
            </a:r>
            <a:r>
              <a:rPr lang="zh-CN" alt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𝜃</a:t>
            </a:r>
            <a:r>
              <a:rPr lang="zh-CN" altLang="zh-TW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對 </a:t>
            </a:r>
            <a:r>
              <a:rPr lang="zh-CN" alt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𝐴</a:t>
            </a:r>
            <a:r>
              <a:rPr lang="zh-CN" altLang="zh-TW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值之關係圖</a:t>
            </a:r>
            <a:endParaRPr lang="zh-TW" altLang="zh-TW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Intersections!$P$25:$P$144</c:f>
              <c:numCache>
                <c:formatCode>General</c:formatCode>
                <c:ptCount val="120"/>
                <c:pt idx="0">
                  <c:v>0.3919261855777969</c:v>
                </c:pt>
                <c:pt idx="1">
                  <c:v>0.38647130435371446</c:v>
                </c:pt>
                <c:pt idx="2">
                  <c:v>0.38711523014084159</c:v>
                </c:pt>
                <c:pt idx="3">
                  <c:v>0.36630129195529149</c:v>
                </c:pt>
                <c:pt idx="4">
                  <c:v>0.37184057534863335</c:v>
                </c:pt>
                <c:pt idx="5">
                  <c:v>0.3546612558253166</c:v>
                </c:pt>
                <c:pt idx="6">
                  <c:v>0.35637796828283252</c:v>
                </c:pt>
                <c:pt idx="7">
                  <c:v>0.35389009392801962</c:v>
                </c:pt>
                <c:pt idx="8">
                  <c:v>0.34417400294195488</c:v>
                </c:pt>
                <c:pt idx="9">
                  <c:v>0.33240526169147144</c:v>
                </c:pt>
                <c:pt idx="10">
                  <c:v>0.33146085478783838</c:v>
                </c:pt>
                <c:pt idx="11">
                  <c:v>0.31805199418910113</c:v>
                </c:pt>
                <c:pt idx="12">
                  <c:v>0.31418543196112902</c:v>
                </c:pt>
                <c:pt idx="13">
                  <c:v>0.31139444419389828</c:v>
                </c:pt>
                <c:pt idx="14">
                  <c:v>0.30412998802324132</c:v>
                </c:pt>
                <c:pt idx="15">
                  <c:v>0.2988960478327134</c:v>
                </c:pt>
                <c:pt idx="16">
                  <c:v>0.29127431806100912</c:v>
                </c:pt>
                <c:pt idx="17">
                  <c:v>0.28681836861143939</c:v>
                </c:pt>
                <c:pt idx="18">
                  <c:v>0.28187773926347615</c:v>
                </c:pt>
                <c:pt idx="19">
                  <c:v>0.27338768637917421</c:v>
                </c:pt>
                <c:pt idx="20">
                  <c:v>0.26663846403451275</c:v>
                </c:pt>
                <c:pt idx="21">
                  <c:v>0.25833776722736879</c:v>
                </c:pt>
                <c:pt idx="22">
                  <c:v>0.25075405716391619</c:v>
                </c:pt>
                <c:pt idx="23">
                  <c:v>0.24236733285474799</c:v>
                </c:pt>
                <c:pt idx="24">
                  <c:v>0.23636696942885549</c:v>
                </c:pt>
                <c:pt idx="25">
                  <c:v>0.23051086228709994</c:v>
                </c:pt>
                <c:pt idx="26">
                  <c:v>0.22427100058549976</c:v>
                </c:pt>
                <c:pt idx="27">
                  <c:v>0.21753095128880151</c:v>
                </c:pt>
                <c:pt idx="28">
                  <c:v>0.2110965856389535</c:v>
                </c:pt>
                <c:pt idx="29">
                  <c:v>0.21137778109195682</c:v>
                </c:pt>
                <c:pt idx="30">
                  <c:v>0.19804581440291114</c:v>
                </c:pt>
                <c:pt idx="31">
                  <c:v>0.19330882185251208</c:v>
                </c:pt>
                <c:pt idx="32">
                  <c:v>0.18559932878464314</c:v>
                </c:pt>
                <c:pt idx="33">
                  <c:v>0.17681107098325421</c:v>
                </c:pt>
                <c:pt idx="34">
                  <c:v>0.16872990709975322</c:v>
                </c:pt>
                <c:pt idx="35">
                  <c:v>0.16469661194991492</c:v>
                </c:pt>
                <c:pt idx="36">
                  <c:v>0.15353484225663316</c:v>
                </c:pt>
                <c:pt idx="37">
                  <c:v>0.14622802047811345</c:v>
                </c:pt>
                <c:pt idx="38">
                  <c:v>0.14059867730640718</c:v>
                </c:pt>
                <c:pt idx="39">
                  <c:v>0.13117826405569866</c:v>
                </c:pt>
                <c:pt idx="40">
                  <c:v>0.12617067288764461</c:v>
                </c:pt>
                <c:pt idx="41">
                  <c:v>0.1174043976756296</c:v>
                </c:pt>
                <c:pt idx="42">
                  <c:v>0.11032905183741937</c:v>
                </c:pt>
                <c:pt idx="43">
                  <c:v>0.10332241057073777</c:v>
                </c:pt>
                <c:pt idx="44">
                  <c:v>9.5632539742997125E-2</c:v>
                </c:pt>
                <c:pt idx="45">
                  <c:v>9.081370507436537E-2</c:v>
                </c:pt>
                <c:pt idx="46">
                  <c:v>8.4972040590125975E-2</c:v>
                </c:pt>
                <c:pt idx="47">
                  <c:v>7.9232390530960206E-2</c:v>
                </c:pt>
                <c:pt idx="48">
                  <c:v>7.2410685890293314E-2</c:v>
                </c:pt>
                <c:pt idx="49">
                  <c:v>6.761271778151734E-2</c:v>
                </c:pt>
                <c:pt idx="50">
                  <c:v>6.03645624632283E-2</c:v>
                </c:pt>
                <c:pt idx="51">
                  <c:v>5.1736013316550755E-2</c:v>
                </c:pt>
                <c:pt idx="52">
                  <c:v>4.6756191020755233E-2</c:v>
                </c:pt>
                <c:pt idx="53">
                  <c:v>4.0891056538197468E-2</c:v>
                </c:pt>
                <c:pt idx="54">
                  <c:v>3.3690078500787424E-2</c:v>
                </c:pt>
                <c:pt idx="55">
                  <c:v>2.7156083897222683E-2</c:v>
                </c:pt>
                <c:pt idx="56">
                  <c:v>1.9577781674921857E-2</c:v>
                </c:pt>
                <c:pt idx="57">
                  <c:v>1.3070360564497507E-2</c:v>
                </c:pt>
                <c:pt idx="58">
                  <c:v>7.8073999187961984E-3</c:v>
                </c:pt>
                <c:pt idx="59">
                  <c:v>3.0013658446705893E-3</c:v>
                </c:pt>
                <c:pt idx="60">
                  <c:v>0</c:v>
                </c:pt>
                <c:pt idx="61">
                  <c:v>-3.0894159094763447</c:v>
                </c:pt>
                <c:pt idx="62">
                  <c:v>-2.5727506558224755E-2</c:v>
                </c:pt>
                <c:pt idx="63">
                  <c:v>-2.4293884555948386E-2</c:v>
                </c:pt>
                <c:pt idx="64">
                  <c:v>-2.9172591567834472E-2</c:v>
                </c:pt>
                <c:pt idx="65">
                  <c:v>-3.4960508212720454E-2</c:v>
                </c:pt>
                <c:pt idx="66">
                  <c:v>-4.1058124035442178E-2</c:v>
                </c:pt>
                <c:pt idx="67">
                  <c:v>-4.7497063103036918E-2</c:v>
                </c:pt>
                <c:pt idx="68">
                  <c:v>-5.4791036445474894E-2</c:v>
                </c:pt>
                <c:pt idx="69">
                  <c:v>-6.3647306864204278E-2</c:v>
                </c:pt>
                <c:pt idx="70">
                  <c:v>-7.079579008625525E-2</c:v>
                </c:pt>
                <c:pt idx="71">
                  <c:v>-7.7874596255628648E-2</c:v>
                </c:pt>
                <c:pt idx="72">
                  <c:v>-8.3442658798002389E-2</c:v>
                </c:pt>
                <c:pt idx="73">
                  <c:v>-8.874556275455836E-2</c:v>
                </c:pt>
                <c:pt idx="74">
                  <c:v>-9.6129159316409307E-2</c:v>
                </c:pt>
                <c:pt idx="75">
                  <c:v>-0.10229127199776622</c:v>
                </c:pt>
                <c:pt idx="76">
                  <c:v>-0.1073724655442887</c:v>
                </c:pt>
                <c:pt idx="77">
                  <c:v>-0.11711925012946223</c:v>
                </c:pt>
                <c:pt idx="78">
                  <c:v>-0.12441447366076397</c:v>
                </c:pt>
                <c:pt idx="79">
                  <c:v>-0.13207226508175074</c:v>
                </c:pt>
                <c:pt idx="80">
                  <c:v>-0.13939932036173253</c:v>
                </c:pt>
                <c:pt idx="81">
                  <c:v>-0.14731614595350617</c:v>
                </c:pt>
                <c:pt idx="82">
                  <c:v>-0.15357091571806936</c:v>
                </c:pt>
                <c:pt idx="83">
                  <c:v>-0.15942380940187539</c:v>
                </c:pt>
                <c:pt idx="84">
                  <c:v>-0.16807069588115797</c:v>
                </c:pt>
                <c:pt idx="85">
                  <c:v>-0.1739154122197113</c:v>
                </c:pt>
                <c:pt idx="86">
                  <c:v>-0.1824487104727317</c:v>
                </c:pt>
                <c:pt idx="87">
                  <c:v>-0.1850097345433217</c:v>
                </c:pt>
                <c:pt idx="88">
                  <c:v>-0.19229420193507041</c:v>
                </c:pt>
                <c:pt idx="89">
                  <c:v>-0.20128133020072214</c:v>
                </c:pt>
                <c:pt idx="90">
                  <c:v>-0.20765701137148196</c:v>
                </c:pt>
                <c:pt idx="91">
                  <c:v>-0.2142751816411923</c:v>
                </c:pt>
                <c:pt idx="92">
                  <c:v>-0.2217652776740977</c:v>
                </c:pt>
                <c:pt idx="93">
                  <c:v>-0.2284707477287331</c:v>
                </c:pt>
                <c:pt idx="94">
                  <c:v>-0.24098736582955071</c:v>
                </c:pt>
                <c:pt idx="95">
                  <c:v>-0.24911855693675045</c:v>
                </c:pt>
                <c:pt idx="96">
                  <c:v>-0.25687043436837431</c:v>
                </c:pt>
                <c:pt idx="97">
                  <c:v>-0.26823092844717067</c:v>
                </c:pt>
                <c:pt idx="98">
                  <c:v>-0.27448529758475027</c:v>
                </c:pt>
                <c:pt idx="99">
                  <c:v>-0.28362414548163906</c:v>
                </c:pt>
                <c:pt idx="100">
                  <c:v>-0.29216589929608205</c:v>
                </c:pt>
                <c:pt idx="101">
                  <c:v>-0.29765108301611343</c:v>
                </c:pt>
                <c:pt idx="102">
                  <c:v>-0.30873828581373552</c:v>
                </c:pt>
                <c:pt idx="103">
                  <c:v>-0.31564155446742204</c:v>
                </c:pt>
                <c:pt idx="104">
                  <c:v>-0.3221999490417784</c:v>
                </c:pt>
                <c:pt idx="105">
                  <c:v>-0.32567225737898986</c:v>
                </c:pt>
                <c:pt idx="106">
                  <c:v>-0.33828295290056376</c:v>
                </c:pt>
                <c:pt idx="107">
                  <c:v>-0.34721379738771496</c:v>
                </c:pt>
                <c:pt idx="108">
                  <c:v>-0.35033682351830309</c:v>
                </c:pt>
                <c:pt idx="109">
                  <c:v>-0.36189235582567059</c:v>
                </c:pt>
                <c:pt idx="110">
                  <c:v>-0.37436206461141985</c:v>
                </c:pt>
                <c:pt idx="111">
                  <c:v>-0.38404525256570343</c:v>
                </c:pt>
                <c:pt idx="112">
                  <c:v>-0.39175610198077049</c:v>
                </c:pt>
                <c:pt idx="113">
                  <c:v>-0.38783124084797893</c:v>
                </c:pt>
                <c:pt idx="114">
                  <c:v>-0.42001685298511315</c:v>
                </c:pt>
                <c:pt idx="115">
                  <c:v>-0.4192038016599009</c:v>
                </c:pt>
                <c:pt idx="116">
                  <c:v>-0.39668304121538545</c:v>
                </c:pt>
                <c:pt idx="117">
                  <c:v>-0.43874920078792856</c:v>
                </c:pt>
                <c:pt idx="118">
                  <c:v>-0.42764106087510201</c:v>
                </c:pt>
                <c:pt idx="119">
                  <c:v>-0.44667268220316414</c:v>
                </c:pt>
              </c:numCache>
            </c:numRef>
          </c:xVal>
          <c:yVal>
            <c:numRef>
              <c:f>Intersections!$AD$25:$AD$144</c:f>
              <c:numCache>
                <c:formatCode>General</c:formatCode>
                <c:ptCount val="120"/>
                <c:pt idx="0">
                  <c:v>10.07833937344723</c:v>
                </c:pt>
                <c:pt idx="1">
                  <c:v>12.042614989100979</c:v>
                </c:pt>
                <c:pt idx="2">
                  <c:v>13.57919173812966</c:v>
                </c:pt>
                <c:pt idx="3">
                  <c:v>14.458817081534971</c:v>
                </c:pt>
                <c:pt idx="4">
                  <c:v>15.983791109767321</c:v>
                </c:pt>
                <c:pt idx="5">
                  <c:v>16.690760863118829</c:v>
                </c:pt>
                <c:pt idx="6">
                  <c:v>17.230260890004619</c:v>
                </c:pt>
                <c:pt idx="7">
                  <c:v>18.343980542258301</c:v>
                </c:pt>
                <c:pt idx="8">
                  <c:v>18.094571183836589</c:v>
                </c:pt>
                <c:pt idx="9">
                  <c:v>18.786372281224221</c:v>
                </c:pt>
                <c:pt idx="10">
                  <c:v>20.098441467997802</c:v>
                </c:pt>
                <c:pt idx="12">
                  <c:v>22.196026886474851</c:v>
                </c:pt>
                <c:pt idx="13">
                  <c:v>25.59607464500651</c:v>
                </c:pt>
                <c:pt idx="14">
                  <c:v>26.143030736419959</c:v>
                </c:pt>
                <c:pt idx="15">
                  <c:v>27.256563120709899</c:v>
                </c:pt>
                <c:pt idx="16">
                  <c:v>29.031936492041339</c:v>
                </c:pt>
                <c:pt idx="17">
                  <c:v>30.232976158083151</c:v>
                </c:pt>
                <c:pt idx="18">
                  <c:v>32.154841464700922</c:v>
                </c:pt>
                <c:pt idx="19">
                  <c:v>33.267138674806098</c:v>
                </c:pt>
                <c:pt idx="20">
                  <c:v>34.636774674251171</c:v>
                </c:pt>
                <c:pt idx="21">
                  <c:v>34.919265104905023</c:v>
                </c:pt>
                <c:pt idx="22">
                  <c:v>37.056437190359567</c:v>
                </c:pt>
                <c:pt idx="23">
                  <c:v>37.762167792270169</c:v>
                </c:pt>
                <c:pt idx="24">
                  <c:v>39.642911267314943</c:v>
                </c:pt>
                <c:pt idx="25">
                  <c:v>39.990201017339402</c:v>
                </c:pt>
                <c:pt idx="26">
                  <c:v>42.048242358780087</c:v>
                </c:pt>
                <c:pt idx="28">
                  <c:v>44.718630799001133</c:v>
                </c:pt>
                <c:pt idx="29">
                  <c:v>45.710681185245569</c:v>
                </c:pt>
                <c:pt idx="32">
                  <c:v>48.232760764434531</c:v>
                </c:pt>
                <c:pt idx="33">
                  <c:v>47.981406666782632</c:v>
                </c:pt>
                <c:pt idx="34">
                  <c:v>50.274269640588713</c:v>
                </c:pt>
                <c:pt idx="35">
                  <c:v>51.484788053929719</c:v>
                </c:pt>
                <c:pt idx="36">
                  <c:v>50.571772435149853</c:v>
                </c:pt>
                <c:pt idx="37">
                  <c:v>51.905453976094108</c:v>
                </c:pt>
                <c:pt idx="38">
                  <c:v>52.134371095129232</c:v>
                </c:pt>
                <c:pt idx="39">
                  <c:v>52.462215984647102</c:v>
                </c:pt>
                <c:pt idx="40">
                  <c:v>52.970839810281937</c:v>
                </c:pt>
                <c:pt idx="41">
                  <c:v>54.631686906627358</c:v>
                </c:pt>
                <c:pt idx="43">
                  <c:v>55.816959864749172</c:v>
                </c:pt>
                <c:pt idx="45">
                  <c:v>54.945180673052981</c:v>
                </c:pt>
                <c:pt idx="46">
                  <c:v>57.372220780462797</c:v>
                </c:pt>
                <c:pt idx="48">
                  <c:v>57.982670541308053</c:v>
                </c:pt>
                <c:pt idx="49">
                  <c:v>60.257812640366843</c:v>
                </c:pt>
                <c:pt idx="50">
                  <c:v>60.635851728067628</c:v>
                </c:pt>
                <c:pt idx="52">
                  <c:v>61.316147084079077</c:v>
                </c:pt>
                <c:pt idx="55">
                  <c:v>62.683606002031993</c:v>
                </c:pt>
                <c:pt idx="56">
                  <c:v>63.660046656239807</c:v>
                </c:pt>
                <c:pt idx="57">
                  <c:v>63.001001739904197</c:v>
                </c:pt>
                <c:pt idx="58">
                  <c:v>62.450318968657513</c:v>
                </c:pt>
                <c:pt idx="59">
                  <c:v>62.253029794021877</c:v>
                </c:pt>
                <c:pt idx="60">
                  <c:v>62.261661773328299</c:v>
                </c:pt>
                <c:pt idx="61">
                  <c:v>61.402903240563617</c:v>
                </c:pt>
                <c:pt idx="62">
                  <c:v>61.077259881561567</c:v>
                </c:pt>
                <c:pt idx="63">
                  <c:v>59.620085635254263</c:v>
                </c:pt>
                <c:pt idx="64">
                  <c:v>58.777378172417848</c:v>
                </c:pt>
                <c:pt idx="65">
                  <c:v>57.1696076629987</c:v>
                </c:pt>
                <c:pt idx="66">
                  <c:v>57.475915549478941</c:v>
                </c:pt>
                <c:pt idx="68">
                  <c:v>56.535703508068323</c:v>
                </c:pt>
                <c:pt idx="69">
                  <c:v>57.373452287977898</c:v>
                </c:pt>
                <c:pt idx="70">
                  <c:v>55.055389332608897</c:v>
                </c:pt>
                <c:pt idx="71">
                  <c:v>54.44068331291475</c:v>
                </c:pt>
                <c:pt idx="72">
                  <c:v>52.881891314294663</c:v>
                </c:pt>
                <c:pt idx="73">
                  <c:v>51.599815983959338</c:v>
                </c:pt>
                <c:pt idx="74">
                  <c:v>50.722373117597051</c:v>
                </c:pt>
                <c:pt idx="75">
                  <c:v>49.31705297265232</c:v>
                </c:pt>
                <c:pt idx="76">
                  <c:v>48.563635125507332</c:v>
                </c:pt>
                <c:pt idx="77">
                  <c:v>46.306913972856208</c:v>
                </c:pt>
                <c:pt idx="78">
                  <c:v>44.295381854191987</c:v>
                </c:pt>
                <c:pt idx="79">
                  <c:v>43.0636254275976</c:v>
                </c:pt>
                <c:pt idx="81">
                  <c:v>41.875569465382107</c:v>
                </c:pt>
                <c:pt idx="82">
                  <c:v>39.022014202265503</c:v>
                </c:pt>
                <c:pt idx="83">
                  <c:v>37.352134729918937</c:v>
                </c:pt>
                <c:pt idx="84">
                  <c:v>36.908115681935577</c:v>
                </c:pt>
                <c:pt idx="85">
                  <c:v>35.725689200349919</c:v>
                </c:pt>
                <c:pt idx="87">
                  <c:v>33.107610489451048</c:v>
                </c:pt>
                <c:pt idx="88">
                  <c:v>32.376773300448093</c:v>
                </c:pt>
                <c:pt idx="89">
                  <c:v>31.037715748268059</c:v>
                </c:pt>
                <c:pt idx="90">
                  <c:v>30.52965454311234</c:v>
                </c:pt>
                <c:pt idx="92">
                  <c:v>29.723729933474679</c:v>
                </c:pt>
                <c:pt idx="93">
                  <c:v>30.2521036253899</c:v>
                </c:pt>
                <c:pt idx="94">
                  <c:v>27.995019718903141</c:v>
                </c:pt>
                <c:pt idx="95">
                  <c:v>28.0788651976276</c:v>
                </c:pt>
                <c:pt idx="96">
                  <c:v>26.734371881108839</c:v>
                </c:pt>
                <c:pt idx="97">
                  <c:v>25.749017039926219</c:v>
                </c:pt>
                <c:pt idx="98">
                  <c:v>25.001206618328752</c:v>
                </c:pt>
                <c:pt idx="99">
                  <c:v>23.796833525037918</c:v>
                </c:pt>
                <c:pt idx="100">
                  <c:v>22.87133935256519</c:v>
                </c:pt>
                <c:pt idx="101">
                  <c:v>20.981209632303081</c:v>
                </c:pt>
                <c:pt idx="102">
                  <c:v>19.979646831921311</c:v>
                </c:pt>
                <c:pt idx="103">
                  <c:v>20.027769598102601</c:v>
                </c:pt>
                <c:pt idx="105">
                  <c:v>16.831706328496018</c:v>
                </c:pt>
                <c:pt idx="106">
                  <c:v>16.852973081336099</c:v>
                </c:pt>
                <c:pt idx="108">
                  <c:v>14.95693495971191</c:v>
                </c:pt>
                <c:pt idx="110">
                  <c:v>14.32350349384966</c:v>
                </c:pt>
                <c:pt idx="111">
                  <c:v>13.511829416058349</c:v>
                </c:pt>
                <c:pt idx="112">
                  <c:v>12.75283420322787</c:v>
                </c:pt>
                <c:pt idx="113">
                  <c:v>12.65864132887514</c:v>
                </c:pt>
                <c:pt idx="114">
                  <c:v>12.17989101680838</c:v>
                </c:pt>
                <c:pt idx="115">
                  <c:v>10.61536593547045</c:v>
                </c:pt>
                <c:pt idx="116">
                  <c:v>11.06259802736669</c:v>
                </c:pt>
                <c:pt idx="119">
                  <c:v>7.2889606892398691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13-4364-989A-0E70B8285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015200"/>
        <c:axId val="142013280"/>
      </c:scatterChart>
      <c:valAx>
        <c:axId val="142015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角度 (</a:t>
                </a: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𝜃</a:t>
                </a: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) 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2013280"/>
        <c:crosses val="autoZero"/>
        <c:crossBetween val="midCat"/>
      </c:valAx>
      <c:valAx>
        <c:axId val="142013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A-value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42015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(z=6) </a:t>
            </a:r>
            <a:r>
              <a:rPr lang="zh-CN" altLang="zh-TW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角度 (</a:t>
            </a:r>
            <a:r>
              <a:rPr lang="zh-CN" alt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𝜃</a:t>
            </a:r>
            <a:r>
              <a:rPr lang="zh-CN" altLang="zh-TW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) 對 </a:t>
            </a:r>
            <a:r>
              <a:rPr lang="zh-CN" alt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𝐴</a:t>
            </a:r>
            <a:r>
              <a:rPr lang="zh-CN" altLang="zh-TW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 值之關係圖</a:t>
            </a:r>
            <a:endParaRPr lang="zh-TW" altLang="zh-TW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Intersections!$P$25:$P$144</c:f>
              <c:numCache>
                <c:formatCode>General</c:formatCode>
                <c:ptCount val="120"/>
                <c:pt idx="0">
                  <c:v>0.3919261855777969</c:v>
                </c:pt>
                <c:pt idx="1">
                  <c:v>0.38647130435371446</c:v>
                </c:pt>
                <c:pt idx="2">
                  <c:v>0.38711523014084159</c:v>
                </c:pt>
                <c:pt idx="3">
                  <c:v>0.36630129195529149</c:v>
                </c:pt>
                <c:pt idx="4">
                  <c:v>0.37184057534863335</c:v>
                </c:pt>
                <c:pt idx="5">
                  <c:v>0.3546612558253166</c:v>
                </c:pt>
                <c:pt idx="6">
                  <c:v>0.35637796828283252</c:v>
                </c:pt>
                <c:pt idx="7">
                  <c:v>0.35389009392801962</c:v>
                </c:pt>
                <c:pt idx="8">
                  <c:v>0.34417400294195488</c:v>
                </c:pt>
                <c:pt idx="9">
                  <c:v>0.33240526169147144</c:v>
                </c:pt>
                <c:pt idx="10">
                  <c:v>0.33146085478783838</c:v>
                </c:pt>
                <c:pt idx="11">
                  <c:v>0.31805199418910113</c:v>
                </c:pt>
                <c:pt idx="12">
                  <c:v>0.31418543196112902</c:v>
                </c:pt>
                <c:pt idx="13">
                  <c:v>0.31139444419389828</c:v>
                </c:pt>
                <c:pt idx="14">
                  <c:v>0.30412998802324132</c:v>
                </c:pt>
                <c:pt idx="15">
                  <c:v>0.2988960478327134</c:v>
                </c:pt>
                <c:pt idx="16">
                  <c:v>0.29127431806100912</c:v>
                </c:pt>
                <c:pt idx="17">
                  <c:v>0.28681836861143939</c:v>
                </c:pt>
                <c:pt idx="18">
                  <c:v>0.28187773926347615</c:v>
                </c:pt>
                <c:pt idx="19">
                  <c:v>0.27338768637917421</c:v>
                </c:pt>
                <c:pt idx="20">
                  <c:v>0.26663846403451275</c:v>
                </c:pt>
                <c:pt idx="21">
                  <c:v>0.25833776722736879</c:v>
                </c:pt>
                <c:pt idx="22">
                  <c:v>0.25075405716391619</c:v>
                </c:pt>
                <c:pt idx="23">
                  <c:v>0.24236733285474799</c:v>
                </c:pt>
                <c:pt idx="24">
                  <c:v>0.23636696942885549</c:v>
                </c:pt>
                <c:pt idx="25">
                  <c:v>0.23051086228709994</c:v>
                </c:pt>
                <c:pt idx="26">
                  <c:v>0.22427100058549976</c:v>
                </c:pt>
                <c:pt idx="27">
                  <c:v>0.21753095128880151</c:v>
                </c:pt>
                <c:pt idx="28">
                  <c:v>0.2110965856389535</c:v>
                </c:pt>
                <c:pt idx="29">
                  <c:v>0.21137778109195682</c:v>
                </c:pt>
                <c:pt idx="30">
                  <c:v>0.19804581440291114</c:v>
                </c:pt>
                <c:pt idx="31">
                  <c:v>0.19330882185251208</c:v>
                </c:pt>
                <c:pt idx="32">
                  <c:v>0.18559932878464314</c:v>
                </c:pt>
                <c:pt idx="33">
                  <c:v>0.17681107098325421</c:v>
                </c:pt>
                <c:pt idx="34">
                  <c:v>0.16872990709975322</c:v>
                </c:pt>
                <c:pt idx="35">
                  <c:v>0.16469661194991492</c:v>
                </c:pt>
                <c:pt idx="36">
                  <c:v>0.15353484225663316</c:v>
                </c:pt>
                <c:pt idx="37">
                  <c:v>0.14622802047811345</c:v>
                </c:pt>
                <c:pt idx="38">
                  <c:v>0.14059867730640718</c:v>
                </c:pt>
                <c:pt idx="39">
                  <c:v>0.13117826405569866</c:v>
                </c:pt>
                <c:pt idx="40">
                  <c:v>0.12617067288764461</c:v>
                </c:pt>
                <c:pt idx="41">
                  <c:v>0.1174043976756296</c:v>
                </c:pt>
                <c:pt idx="42">
                  <c:v>0.11032905183741937</c:v>
                </c:pt>
                <c:pt idx="43">
                  <c:v>0.10332241057073777</c:v>
                </c:pt>
                <c:pt idx="44">
                  <c:v>9.5632539742997125E-2</c:v>
                </c:pt>
                <c:pt idx="45">
                  <c:v>9.081370507436537E-2</c:v>
                </c:pt>
                <c:pt idx="46">
                  <c:v>8.4972040590125975E-2</c:v>
                </c:pt>
                <c:pt idx="47">
                  <c:v>7.9232390530960206E-2</c:v>
                </c:pt>
                <c:pt idx="48">
                  <c:v>7.2410685890293314E-2</c:v>
                </c:pt>
                <c:pt idx="49">
                  <c:v>6.761271778151734E-2</c:v>
                </c:pt>
                <c:pt idx="50">
                  <c:v>6.03645624632283E-2</c:v>
                </c:pt>
                <c:pt idx="51">
                  <c:v>5.1736013316550755E-2</c:v>
                </c:pt>
                <c:pt idx="52">
                  <c:v>4.6756191020755233E-2</c:v>
                </c:pt>
                <c:pt idx="53">
                  <c:v>4.0891056538197468E-2</c:v>
                </c:pt>
                <c:pt idx="54">
                  <c:v>3.3690078500787424E-2</c:v>
                </c:pt>
                <c:pt idx="55">
                  <c:v>2.7156083897222683E-2</c:v>
                </c:pt>
                <c:pt idx="56">
                  <c:v>1.9577781674921857E-2</c:v>
                </c:pt>
                <c:pt idx="57">
                  <c:v>1.3070360564497507E-2</c:v>
                </c:pt>
                <c:pt idx="58">
                  <c:v>7.8073999187961984E-3</c:v>
                </c:pt>
                <c:pt idx="59">
                  <c:v>3.0013658446705893E-3</c:v>
                </c:pt>
                <c:pt idx="60">
                  <c:v>0</c:v>
                </c:pt>
                <c:pt idx="61">
                  <c:v>-3.0894159094763447</c:v>
                </c:pt>
                <c:pt idx="62">
                  <c:v>-2.5727506558224755E-2</c:v>
                </c:pt>
                <c:pt idx="63">
                  <c:v>-2.4293884555948386E-2</c:v>
                </c:pt>
                <c:pt idx="64">
                  <c:v>-2.9172591567834472E-2</c:v>
                </c:pt>
                <c:pt idx="65">
                  <c:v>-3.4960508212720454E-2</c:v>
                </c:pt>
                <c:pt idx="66">
                  <c:v>-4.1058124035442178E-2</c:v>
                </c:pt>
                <c:pt idx="67">
                  <c:v>-4.7497063103036918E-2</c:v>
                </c:pt>
                <c:pt idx="68">
                  <c:v>-5.4791036445474894E-2</c:v>
                </c:pt>
                <c:pt idx="69">
                  <c:v>-6.3647306864204278E-2</c:v>
                </c:pt>
                <c:pt idx="70">
                  <c:v>-7.079579008625525E-2</c:v>
                </c:pt>
                <c:pt idx="71">
                  <c:v>-7.7874596255628648E-2</c:v>
                </c:pt>
                <c:pt idx="72">
                  <c:v>-8.3442658798002389E-2</c:v>
                </c:pt>
                <c:pt idx="73">
                  <c:v>-8.874556275455836E-2</c:v>
                </c:pt>
                <c:pt idx="74">
                  <c:v>-9.6129159316409307E-2</c:v>
                </c:pt>
                <c:pt idx="75">
                  <c:v>-0.10229127199776622</c:v>
                </c:pt>
                <c:pt idx="76">
                  <c:v>-0.1073724655442887</c:v>
                </c:pt>
                <c:pt idx="77">
                  <c:v>-0.11711925012946223</c:v>
                </c:pt>
                <c:pt idx="78">
                  <c:v>-0.12441447366076397</c:v>
                </c:pt>
                <c:pt idx="79">
                  <c:v>-0.13207226508175074</c:v>
                </c:pt>
                <c:pt idx="80">
                  <c:v>-0.13939932036173253</c:v>
                </c:pt>
                <c:pt idx="81">
                  <c:v>-0.14731614595350617</c:v>
                </c:pt>
                <c:pt idx="82">
                  <c:v>-0.15357091571806936</c:v>
                </c:pt>
                <c:pt idx="83">
                  <c:v>-0.15942380940187539</c:v>
                </c:pt>
                <c:pt idx="84">
                  <c:v>-0.16807069588115797</c:v>
                </c:pt>
                <c:pt idx="85">
                  <c:v>-0.1739154122197113</c:v>
                </c:pt>
                <c:pt idx="86">
                  <c:v>-0.1824487104727317</c:v>
                </c:pt>
                <c:pt idx="87">
                  <c:v>-0.1850097345433217</c:v>
                </c:pt>
                <c:pt idx="88">
                  <c:v>-0.19229420193507041</c:v>
                </c:pt>
                <c:pt idx="89">
                  <c:v>-0.20128133020072214</c:v>
                </c:pt>
                <c:pt idx="90">
                  <c:v>-0.20765701137148196</c:v>
                </c:pt>
                <c:pt idx="91">
                  <c:v>-0.2142751816411923</c:v>
                </c:pt>
                <c:pt idx="92">
                  <c:v>-0.2217652776740977</c:v>
                </c:pt>
                <c:pt idx="93">
                  <c:v>-0.2284707477287331</c:v>
                </c:pt>
                <c:pt idx="94">
                  <c:v>-0.24098736582955071</c:v>
                </c:pt>
                <c:pt idx="95">
                  <c:v>-0.24911855693675045</c:v>
                </c:pt>
                <c:pt idx="96">
                  <c:v>-0.25687043436837431</c:v>
                </c:pt>
                <c:pt idx="97">
                  <c:v>-0.26823092844717067</c:v>
                </c:pt>
                <c:pt idx="98">
                  <c:v>-0.27448529758475027</c:v>
                </c:pt>
                <c:pt idx="99">
                  <c:v>-0.28362414548163906</c:v>
                </c:pt>
                <c:pt idx="100">
                  <c:v>-0.29216589929608205</c:v>
                </c:pt>
                <c:pt idx="101">
                  <c:v>-0.29765108301611343</c:v>
                </c:pt>
                <c:pt idx="102">
                  <c:v>-0.30873828581373552</c:v>
                </c:pt>
                <c:pt idx="103">
                  <c:v>-0.31564155446742204</c:v>
                </c:pt>
                <c:pt idx="104">
                  <c:v>-0.3221999490417784</c:v>
                </c:pt>
                <c:pt idx="105">
                  <c:v>-0.32567225737898986</c:v>
                </c:pt>
                <c:pt idx="106">
                  <c:v>-0.33828295290056376</c:v>
                </c:pt>
                <c:pt idx="107">
                  <c:v>-0.34721379738771496</c:v>
                </c:pt>
                <c:pt idx="108">
                  <c:v>-0.35033682351830309</c:v>
                </c:pt>
                <c:pt idx="109">
                  <c:v>-0.36189235582567059</c:v>
                </c:pt>
                <c:pt idx="110">
                  <c:v>-0.37436206461141985</c:v>
                </c:pt>
                <c:pt idx="111">
                  <c:v>-0.38404525256570343</c:v>
                </c:pt>
                <c:pt idx="112">
                  <c:v>-0.39175610198077049</c:v>
                </c:pt>
                <c:pt idx="113">
                  <c:v>-0.38783124084797893</c:v>
                </c:pt>
                <c:pt idx="114">
                  <c:v>-0.42001685298511315</c:v>
                </c:pt>
                <c:pt idx="115">
                  <c:v>-0.4192038016599009</c:v>
                </c:pt>
                <c:pt idx="116">
                  <c:v>-0.39668304121538545</c:v>
                </c:pt>
                <c:pt idx="117">
                  <c:v>-0.43874920078792856</c:v>
                </c:pt>
                <c:pt idx="118">
                  <c:v>-0.42764106087510201</c:v>
                </c:pt>
                <c:pt idx="119">
                  <c:v>-0.44667268220316414</c:v>
                </c:pt>
              </c:numCache>
            </c:numRef>
          </c:xVal>
          <c:yVal>
            <c:numRef>
              <c:f>Intersections!$AH$25:$AH$144</c:f>
              <c:numCache>
                <c:formatCode>General</c:formatCode>
                <c:ptCount val="120"/>
                <c:pt idx="0">
                  <c:v>6.2527462934072284</c:v>
                </c:pt>
                <c:pt idx="1">
                  <c:v>8.0746173874713527</c:v>
                </c:pt>
                <c:pt idx="2">
                  <c:v>5.31235275424552</c:v>
                </c:pt>
                <c:pt idx="3">
                  <c:v>6.9672587056809316</c:v>
                </c:pt>
                <c:pt idx="4">
                  <c:v>8.5829304523619534</c:v>
                </c:pt>
                <c:pt idx="5">
                  <c:v>10.712086671508709</c:v>
                </c:pt>
                <c:pt idx="6">
                  <c:v>10.630017032282501</c:v>
                </c:pt>
                <c:pt idx="7">
                  <c:v>12.6293700245454</c:v>
                </c:pt>
                <c:pt idx="8">
                  <c:v>12.21657042532027</c:v>
                </c:pt>
                <c:pt idx="9">
                  <c:v>12.51105252471389</c:v>
                </c:pt>
                <c:pt idx="10">
                  <c:v>13.057319583582309</c:v>
                </c:pt>
                <c:pt idx="11">
                  <c:v>13.40933969762516</c:v>
                </c:pt>
                <c:pt idx="12">
                  <c:v>14.355885775412879</c:v>
                </c:pt>
                <c:pt idx="13">
                  <c:v>15.67254019534608</c:v>
                </c:pt>
                <c:pt idx="14">
                  <c:v>16.448323166624419</c:v>
                </c:pt>
                <c:pt idx="15">
                  <c:v>17.944424640226231</c:v>
                </c:pt>
                <c:pt idx="16">
                  <c:v>19.198301858811771</c:v>
                </c:pt>
                <c:pt idx="17">
                  <c:v>19.505608069088112</c:v>
                </c:pt>
                <c:pt idx="18">
                  <c:v>20.533376536048191</c:v>
                </c:pt>
                <c:pt idx="19">
                  <c:v>21.529619772853451</c:v>
                </c:pt>
                <c:pt idx="20">
                  <c:v>23.23202445019902</c:v>
                </c:pt>
                <c:pt idx="21">
                  <c:v>23.807002830819268</c:v>
                </c:pt>
                <c:pt idx="22">
                  <c:v>25.009697239825702</c:v>
                </c:pt>
                <c:pt idx="23">
                  <c:v>26.032475864856821</c:v>
                </c:pt>
                <c:pt idx="24">
                  <c:v>27.08088127238446</c:v>
                </c:pt>
                <c:pt idx="25">
                  <c:v>28.411339208761781</c:v>
                </c:pt>
                <c:pt idx="27">
                  <c:v>31.067963712594089</c:v>
                </c:pt>
                <c:pt idx="28">
                  <c:v>32.458012229185861</c:v>
                </c:pt>
                <c:pt idx="29">
                  <c:v>33.296565161681528</c:v>
                </c:pt>
                <c:pt idx="30">
                  <c:v>33.397270537986799</c:v>
                </c:pt>
                <c:pt idx="31">
                  <c:v>34.140566167348197</c:v>
                </c:pt>
                <c:pt idx="32">
                  <c:v>34.854664536157941</c:v>
                </c:pt>
                <c:pt idx="33">
                  <c:v>35.770915919295177</c:v>
                </c:pt>
                <c:pt idx="34">
                  <c:v>36.989437351503867</c:v>
                </c:pt>
                <c:pt idx="35">
                  <c:v>38.833499185111577</c:v>
                </c:pt>
                <c:pt idx="36">
                  <c:v>39.243628728790817</c:v>
                </c:pt>
                <c:pt idx="39">
                  <c:v>42.032387594887673</c:v>
                </c:pt>
                <c:pt idx="40">
                  <c:v>42.359968476722138</c:v>
                </c:pt>
                <c:pt idx="41">
                  <c:v>42.196095371312303</c:v>
                </c:pt>
                <c:pt idx="43">
                  <c:v>44.278407939364591</c:v>
                </c:pt>
                <c:pt idx="44">
                  <c:v>44.344654808691551</c:v>
                </c:pt>
                <c:pt idx="45">
                  <c:v>44.809493097711602</c:v>
                </c:pt>
                <c:pt idx="46">
                  <c:v>45.405110236617602</c:v>
                </c:pt>
                <c:pt idx="47">
                  <c:v>43.377306927734637</c:v>
                </c:pt>
                <c:pt idx="48">
                  <c:v>44.330168471955801</c:v>
                </c:pt>
                <c:pt idx="49">
                  <c:v>43.502094775929677</c:v>
                </c:pt>
                <c:pt idx="50">
                  <c:v>43.878237036397941</c:v>
                </c:pt>
                <c:pt idx="51">
                  <c:v>44.107543190485451</c:v>
                </c:pt>
                <c:pt idx="53">
                  <c:v>45.254666802365527</c:v>
                </c:pt>
                <c:pt idx="55">
                  <c:v>45.278016016992837</c:v>
                </c:pt>
                <c:pt idx="56">
                  <c:v>45.846936734663068</c:v>
                </c:pt>
                <c:pt idx="58">
                  <c:v>45.209571873626793</c:v>
                </c:pt>
                <c:pt idx="59">
                  <c:v>44.50983112316635</c:v>
                </c:pt>
                <c:pt idx="60">
                  <c:v>43.795166998812867</c:v>
                </c:pt>
                <c:pt idx="61">
                  <c:v>43.284929547008353</c:v>
                </c:pt>
                <c:pt idx="62">
                  <c:v>43.158547713273578</c:v>
                </c:pt>
                <c:pt idx="63">
                  <c:v>41.626419395743071</c:v>
                </c:pt>
                <c:pt idx="64">
                  <c:v>42.145845985722929</c:v>
                </c:pt>
                <c:pt idx="65">
                  <c:v>41.197363966038843</c:v>
                </c:pt>
                <c:pt idx="66">
                  <c:v>40.106226892268332</c:v>
                </c:pt>
                <c:pt idx="67">
                  <c:v>39.999425345082663</c:v>
                </c:pt>
                <c:pt idx="68">
                  <c:v>41.0185733918319</c:v>
                </c:pt>
                <c:pt idx="69">
                  <c:v>39.68198923236519</c:v>
                </c:pt>
                <c:pt idx="72">
                  <c:v>38.861763859807638</c:v>
                </c:pt>
                <c:pt idx="73">
                  <c:v>37.668080775594397</c:v>
                </c:pt>
                <c:pt idx="75">
                  <c:v>35.291455351638312</c:v>
                </c:pt>
                <c:pt idx="76">
                  <c:v>34.927018295551022</c:v>
                </c:pt>
                <c:pt idx="77">
                  <c:v>33.537709625214447</c:v>
                </c:pt>
                <c:pt idx="78">
                  <c:v>32.750927998368773</c:v>
                </c:pt>
                <c:pt idx="82">
                  <c:v>28.769690102590449</c:v>
                </c:pt>
                <c:pt idx="83">
                  <c:v>27.611908833427339</c:v>
                </c:pt>
                <c:pt idx="84">
                  <c:v>26.71965579792862</c:v>
                </c:pt>
                <c:pt idx="85">
                  <c:v>25.20295711279233</c:v>
                </c:pt>
                <c:pt idx="87">
                  <c:v>23.928572134713129</c:v>
                </c:pt>
                <c:pt idx="89">
                  <c:v>22.821734183445521</c:v>
                </c:pt>
                <c:pt idx="90">
                  <c:v>22.246497483400631</c:v>
                </c:pt>
                <c:pt idx="93">
                  <c:v>19.762993899632239</c:v>
                </c:pt>
                <c:pt idx="94">
                  <c:v>19.911503327288891</c:v>
                </c:pt>
                <c:pt idx="95">
                  <c:v>19.127505305408231</c:v>
                </c:pt>
                <c:pt idx="97">
                  <c:v>18.346552691757971</c:v>
                </c:pt>
                <c:pt idx="98">
                  <c:v>16.986146263973719</c:v>
                </c:pt>
                <c:pt idx="100">
                  <c:v>16.099614643399079</c:v>
                </c:pt>
                <c:pt idx="101">
                  <c:v>14.848580517872721</c:v>
                </c:pt>
                <c:pt idx="102">
                  <c:v>14.45437946084594</c:v>
                </c:pt>
                <c:pt idx="103">
                  <c:v>14.36591511611106</c:v>
                </c:pt>
                <c:pt idx="104">
                  <c:v>13.53098019164716</c:v>
                </c:pt>
                <c:pt idx="105">
                  <c:v>12.902460183262029</c:v>
                </c:pt>
                <c:pt idx="106">
                  <c:v>12.507803258978649</c:v>
                </c:pt>
                <c:pt idx="110">
                  <c:v>9.4655342860931047</c:v>
                </c:pt>
                <c:pt idx="111">
                  <c:v>9.1398628508105428</c:v>
                </c:pt>
                <c:pt idx="112">
                  <c:v>9.2382163229459717</c:v>
                </c:pt>
                <c:pt idx="113">
                  <c:v>7.8694857331006478</c:v>
                </c:pt>
                <c:pt idx="115">
                  <c:v>5.3101507432070756</c:v>
                </c:pt>
                <c:pt idx="116">
                  <c:v>6.1732696854316336</c:v>
                </c:pt>
                <c:pt idx="117">
                  <c:v>5.5449965160005004</c:v>
                </c:pt>
                <c:pt idx="118">
                  <c:v>2.886730084919821</c:v>
                </c:pt>
                <c:pt idx="119">
                  <c:v>3.150112756729162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1E6A-46DC-83AD-E4CDE329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7928048"/>
        <c:axId val="317932368"/>
      </c:scatterChart>
      <c:valAx>
        <c:axId val="317928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角度 (</a:t>
                </a: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𝜃</a:t>
                </a: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) 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17932368"/>
        <c:crosses val="autoZero"/>
        <c:crossBetween val="midCat"/>
      </c:valAx>
      <c:valAx>
        <c:axId val="31793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A-value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179280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baseline="0">
                <a:effectLst/>
              </a:rPr>
              <a:t>(z=0) Integration_Result vs. Angle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Intersections!$P$25:$P$144</c:f>
              <c:numCache>
                <c:formatCode>General</c:formatCode>
                <c:ptCount val="120"/>
                <c:pt idx="0">
                  <c:v>0.3919261855777969</c:v>
                </c:pt>
                <c:pt idx="1">
                  <c:v>0.38647130435371446</c:v>
                </c:pt>
                <c:pt idx="2">
                  <c:v>0.38711523014084159</c:v>
                </c:pt>
                <c:pt idx="3">
                  <c:v>0.36630129195529149</c:v>
                </c:pt>
                <c:pt idx="4">
                  <c:v>0.37184057534863335</c:v>
                </c:pt>
                <c:pt idx="5">
                  <c:v>0.3546612558253166</c:v>
                </c:pt>
                <c:pt idx="6">
                  <c:v>0.35637796828283252</c:v>
                </c:pt>
                <c:pt idx="7">
                  <c:v>0.35389009392801962</c:v>
                </c:pt>
                <c:pt idx="8">
                  <c:v>0.34417400294195488</c:v>
                </c:pt>
                <c:pt idx="9">
                  <c:v>0.33240526169147144</c:v>
                </c:pt>
                <c:pt idx="10">
                  <c:v>0.33146085478783838</c:v>
                </c:pt>
                <c:pt idx="11">
                  <c:v>0.31805199418910113</c:v>
                </c:pt>
                <c:pt idx="12">
                  <c:v>0.31418543196112902</c:v>
                </c:pt>
                <c:pt idx="13">
                  <c:v>0.31139444419389828</c:v>
                </c:pt>
                <c:pt idx="14">
                  <c:v>0.30412998802324132</c:v>
                </c:pt>
                <c:pt idx="15">
                  <c:v>0.2988960478327134</c:v>
                </c:pt>
                <c:pt idx="16">
                  <c:v>0.29127431806100912</c:v>
                </c:pt>
                <c:pt idx="17">
                  <c:v>0.28681836861143939</c:v>
                </c:pt>
                <c:pt idx="18">
                  <c:v>0.28187773926347615</c:v>
                </c:pt>
                <c:pt idx="19">
                  <c:v>0.27338768637917421</c:v>
                </c:pt>
                <c:pt idx="20">
                  <c:v>0.26663846403451275</c:v>
                </c:pt>
                <c:pt idx="21">
                  <c:v>0.25833776722736879</c:v>
                </c:pt>
                <c:pt idx="22">
                  <c:v>0.25075405716391619</c:v>
                </c:pt>
                <c:pt idx="23">
                  <c:v>0.24236733285474799</c:v>
                </c:pt>
                <c:pt idx="24">
                  <c:v>0.23636696942885549</c:v>
                </c:pt>
                <c:pt idx="25">
                  <c:v>0.23051086228709994</c:v>
                </c:pt>
                <c:pt idx="26">
                  <c:v>0.22427100058549976</c:v>
                </c:pt>
                <c:pt idx="27">
                  <c:v>0.21753095128880151</c:v>
                </c:pt>
                <c:pt idx="28">
                  <c:v>0.2110965856389535</c:v>
                </c:pt>
                <c:pt idx="29">
                  <c:v>0.21137778109195682</c:v>
                </c:pt>
                <c:pt idx="30">
                  <c:v>0.19804581440291114</c:v>
                </c:pt>
                <c:pt idx="31">
                  <c:v>0.19330882185251208</c:v>
                </c:pt>
                <c:pt idx="32">
                  <c:v>0.18559932878464314</c:v>
                </c:pt>
                <c:pt idx="33">
                  <c:v>0.17681107098325421</c:v>
                </c:pt>
                <c:pt idx="34">
                  <c:v>0.16872990709975322</c:v>
                </c:pt>
                <c:pt idx="35">
                  <c:v>0.16469661194991492</c:v>
                </c:pt>
                <c:pt idx="36">
                  <c:v>0.15353484225663316</c:v>
                </c:pt>
                <c:pt idx="37">
                  <c:v>0.14622802047811345</c:v>
                </c:pt>
                <c:pt idx="38">
                  <c:v>0.14059867730640718</c:v>
                </c:pt>
                <c:pt idx="39">
                  <c:v>0.13117826405569866</c:v>
                </c:pt>
                <c:pt idx="40">
                  <c:v>0.12617067288764461</c:v>
                </c:pt>
                <c:pt idx="41">
                  <c:v>0.1174043976756296</c:v>
                </c:pt>
                <c:pt idx="42">
                  <c:v>0.11032905183741937</c:v>
                </c:pt>
                <c:pt idx="43">
                  <c:v>0.10332241057073777</c:v>
                </c:pt>
                <c:pt idx="44">
                  <c:v>9.5632539742997125E-2</c:v>
                </c:pt>
                <c:pt idx="45">
                  <c:v>9.081370507436537E-2</c:v>
                </c:pt>
                <c:pt idx="46">
                  <c:v>8.4972040590125975E-2</c:v>
                </c:pt>
                <c:pt idx="47">
                  <c:v>7.9232390530960206E-2</c:v>
                </c:pt>
                <c:pt idx="48">
                  <c:v>7.2410685890293314E-2</c:v>
                </c:pt>
                <c:pt idx="49">
                  <c:v>6.761271778151734E-2</c:v>
                </c:pt>
                <c:pt idx="50">
                  <c:v>6.03645624632283E-2</c:v>
                </c:pt>
                <c:pt idx="51">
                  <c:v>5.1736013316550755E-2</c:v>
                </c:pt>
                <c:pt idx="52">
                  <c:v>4.6756191020755233E-2</c:v>
                </c:pt>
                <c:pt idx="53">
                  <c:v>4.0891056538197468E-2</c:v>
                </c:pt>
                <c:pt idx="54">
                  <c:v>3.3690078500787424E-2</c:v>
                </c:pt>
                <c:pt idx="55">
                  <c:v>2.7156083897222683E-2</c:v>
                </c:pt>
                <c:pt idx="56">
                  <c:v>1.9577781674921857E-2</c:v>
                </c:pt>
                <c:pt idx="57">
                  <c:v>1.3070360564497507E-2</c:v>
                </c:pt>
                <c:pt idx="58">
                  <c:v>7.8073999187961984E-3</c:v>
                </c:pt>
                <c:pt idx="59">
                  <c:v>3.0013658446705893E-3</c:v>
                </c:pt>
                <c:pt idx="60">
                  <c:v>0</c:v>
                </c:pt>
                <c:pt idx="61">
                  <c:v>-3.0894159094763447</c:v>
                </c:pt>
                <c:pt idx="62">
                  <c:v>-2.5727506558224755E-2</c:v>
                </c:pt>
                <c:pt idx="63">
                  <c:v>-2.4293884555948386E-2</c:v>
                </c:pt>
                <c:pt idx="64">
                  <c:v>-2.9172591567834472E-2</c:v>
                </c:pt>
                <c:pt idx="65">
                  <c:v>-3.4960508212720454E-2</c:v>
                </c:pt>
                <c:pt idx="66">
                  <c:v>-4.1058124035442178E-2</c:v>
                </c:pt>
                <c:pt idx="67">
                  <c:v>-4.7497063103036918E-2</c:v>
                </c:pt>
                <c:pt idx="68">
                  <c:v>-5.4791036445474894E-2</c:v>
                </c:pt>
                <c:pt idx="69">
                  <c:v>-6.3647306864204278E-2</c:v>
                </c:pt>
                <c:pt idx="70">
                  <c:v>-7.079579008625525E-2</c:v>
                </c:pt>
                <c:pt idx="71">
                  <c:v>-7.7874596255628648E-2</c:v>
                </c:pt>
                <c:pt idx="72">
                  <c:v>-8.3442658798002389E-2</c:v>
                </c:pt>
                <c:pt idx="73">
                  <c:v>-8.874556275455836E-2</c:v>
                </c:pt>
                <c:pt idx="74">
                  <c:v>-9.6129159316409307E-2</c:v>
                </c:pt>
                <c:pt idx="75">
                  <c:v>-0.10229127199776622</c:v>
                </c:pt>
                <c:pt idx="76">
                  <c:v>-0.1073724655442887</c:v>
                </c:pt>
                <c:pt idx="77">
                  <c:v>-0.11711925012946223</c:v>
                </c:pt>
                <c:pt idx="78">
                  <c:v>-0.12441447366076397</c:v>
                </c:pt>
                <c:pt idx="79">
                  <c:v>-0.13207226508175074</c:v>
                </c:pt>
                <c:pt idx="80">
                  <c:v>-0.13939932036173253</c:v>
                </c:pt>
                <c:pt idx="81">
                  <c:v>-0.14731614595350617</c:v>
                </c:pt>
                <c:pt idx="82">
                  <c:v>-0.15357091571806936</c:v>
                </c:pt>
                <c:pt idx="83">
                  <c:v>-0.15942380940187539</c:v>
                </c:pt>
                <c:pt idx="84">
                  <c:v>-0.16807069588115797</c:v>
                </c:pt>
                <c:pt idx="85">
                  <c:v>-0.1739154122197113</c:v>
                </c:pt>
                <c:pt idx="86">
                  <c:v>-0.1824487104727317</c:v>
                </c:pt>
                <c:pt idx="87">
                  <c:v>-0.1850097345433217</c:v>
                </c:pt>
                <c:pt idx="88">
                  <c:v>-0.19229420193507041</c:v>
                </c:pt>
                <c:pt idx="89">
                  <c:v>-0.20128133020072214</c:v>
                </c:pt>
                <c:pt idx="90">
                  <c:v>-0.20765701137148196</c:v>
                </c:pt>
                <c:pt idx="91">
                  <c:v>-0.2142751816411923</c:v>
                </c:pt>
                <c:pt idx="92">
                  <c:v>-0.2217652776740977</c:v>
                </c:pt>
                <c:pt idx="93">
                  <c:v>-0.2284707477287331</c:v>
                </c:pt>
                <c:pt idx="94">
                  <c:v>-0.24098736582955071</c:v>
                </c:pt>
                <c:pt idx="95">
                  <c:v>-0.24911855693675045</c:v>
                </c:pt>
                <c:pt idx="96">
                  <c:v>-0.25687043436837431</c:v>
                </c:pt>
                <c:pt idx="97">
                  <c:v>-0.26823092844717067</c:v>
                </c:pt>
                <c:pt idx="98">
                  <c:v>-0.27448529758475027</c:v>
                </c:pt>
                <c:pt idx="99">
                  <c:v>-0.28362414548163906</c:v>
                </c:pt>
                <c:pt idx="100">
                  <c:v>-0.29216589929608205</c:v>
                </c:pt>
                <c:pt idx="101">
                  <c:v>-0.29765108301611343</c:v>
                </c:pt>
                <c:pt idx="102">
                  <c:v>-0.30873828581373552</c:v>
                </c:pt>
                <c:pt idx="103">
                  <c:v>-0.31564155446742204</c:v>
                </c:pt>
                <c:pt idx="104">
                  <c:v>-0.3221999490417784</c:v>
                </c:pt>
                <c:pt idx="105">
                  <c:v>-0.32567225737898986</c:v>
                </c:pt>
                <c:pt idx="106">
                  <c:v>-0.33828295290056376</c:v>
                </c:pt>
                <c:pt idx="107">
                  <c:v>-0.34721379738771496</c:v>
                </c:pt>
                <c:pt idx="108">
                  <c:v>-0.35033682351830309</c:v>
                </c:pt>
                <c:pt idx="109">
                  <c:v>-0.36189235582567059</c:v>
                </c:pt>
                <c:pt idx="110">
                  <c:v>-0.37436206461141985</c:v>
                </c:pt>
                <c:pt idx="111">
                  <c:v>-0.38404525256570343</c:v>
                </c:pt>
                <c:pt idx="112">
                  <c:v>-0.39175610198077049</c:v>
                </c:pt>
                <c:pt idx="113">
                  <c:v>-0.38783124084797893</c:v>
                </c:pt>
                <c:pt idx="114">
                  <c:v>-0.42001685298511315</c:v>
                </c:pt>
                <c:pt idx="115">
                  <c:v>-0.4192038016599009</c:v>
                </c:pt>
                <c:pt idx="116">
                  <c:v>-0.39668304121538545</c:v>
                </c:pt>
                <c:pt idx="117">
                  <c:v>-0.43874920078792856</c:v>
                </c:pt>
                <c:pt idx="118">
                  <c:v>-0.42764106087510201</c:v>
                </c:pt>
                <c:pt idx="119">
                  <c:v>-0.44667268220316414</c:v>
                </c:pt>
              </c:numCache>
            </c:numRef>
          </c:xVal>
          <c:yVal>
            <c:numRef>
              <c:f>Intersections!$X$25:$X$145</c:f>
              <c:numCache>
                <c:formatCode>General</c:formatCode>
                <c:ptCount val="121"/>
                <c:pt idx="0">
                  <c:v>18156.24373578907</c:v>
                </c:pt>
                <c:pt idx="1">
                  <c:v>19258.689535743171</c:v>
                </c:pt>
                <c:pt idx="2">
                  <c:v>24178.143289742449</c:v>
                </c:pt>
                <c:pt idx="3">
                  <c:v>26571.682226667079</c:v>
                </c:pt>
                <c:pt idx="4">
                  <c:v>27902.468809801339</c:v>
                </c:pt>
                <c:pt idx="5">
                  <c:v>31908.734989556931</c:v>
                </c:pt>
                <c:pt idx="6">
                  <c:v>31047.1852910735</c:v>
                </c:pt>
                <c:pt idx="7">
                  <c:v>32575.729490178092</c:v>
                </c:pt>
                <c:pt idx="8">
                  <c:v>39154.577936736387</c:v>
                </c:pt>
                <c:pt idx="9">
                  <c:v>41070.355278043928</c:v>
                </c:pt>
                <c:pt idx="10">
                  <c:v>45574.760270430161</c:v>
                </c:pt>
                <c:pt idx="11">
                  <c:v>44336.204729326113</c:v>
                </c:pt>
                <c:pt idx="13">
                  <c:v>55764.287401409063</c:v>
                </c:pt>
                <c:pt idx="14">
                  <c:v>59495.851959672989</c:v>
                </c:pt>
                <c:pt idx="15">
                  <c:v>62866.831196059611</c:v>
                </c:pt>
                <c:pt idx="16">
                  <c:v>68001.438776928524</c:v>
                </c:pt>
                <c:pt idx="17">
                  <c:v>68870.208129223043</c:v>
                </c:pt>
                <c:pt idx="18">
                  <c:v>72455.291616529823</c:v>
                </c:pt>
                <c:pt idx="19">
                  <c:v>78694.893925185548</c:v>
                </c:pt>
                <c:pt idx="20">
                  <c:v>80675.794518113849</c:v>
                </c:pt>
                <c:pt idx="21">
                  <c:v>81187.275614937287</c:v>
                </c:pt>
                <c:pt idx="22">
                  <c:v>86350.926173295738</c:v>
                </c:pt>
                <c:pt idx="23">
                  <c:v>83992.499445920403</c:v>
                </c:pt>
                <c:pt idx="24">
                  <c:v>89345.819023583856</c:v>
                </c:pt>
                <c:pt idx="25">
                  <c:v>91089.556662621981</c:v>
                </c:pt>
                <c:pt idx="26">
                  <c:v>96253.464564372611</c:v>
                </c:pt>
                <c:pt idx="27">
                  <c:v>97977.917739965589</c:v>
                </c:pt>
                <c:pt idx="28">
                  <c:v>97833.359129939141</c:v>
                </c:pt>
                <c:pt idx="29">
                  <c:v>100565.31944830769</c:v>
                </c:pt>
                <c:pt idx="30">
                  <c:v>98749.48005518518</c:v>
                </c:pt>
                <c:pt idx="31">
                  <c:v>98165.568842644148</c:v>
                </c:pt>
                <c:pt idx="32">
                  <c:v>98127.139773902221</c:v>
                </c:pt>
                <c:pt idx="33">
                  <c:v>98688.297370370477</c:v>
                </c:pt>
                <c:pt idx="34">
                  <c:v>100780.0237290239</c:v>
                </c:pt>
                <c:pt idx="35">
                  <c:v>102380.24058232149</c:v>
                </c:pt>
                <c:pt idx="38">
                  <c:v>121444.0698863146</c:v>
                </c:pt>
                <c:pt idx="39">
                  <c:v>116702.4472561619</c:v>
                </c:pt>
                <c:pt idx="40">
                  <c:v>118631.34825159061</c:v>
                </c:pt>
                <c:pt idx="41">
                  <c:v>117351.24566052121</c:v>
                </c:pt>
                <c:pt idx="42">
                  <c:v>110856.96834043899</c:v>
                </c:pt>
                <c:pt idx="43">
                  <c:v>117281.0423245525</c:v>
                </c:pt>
                <c:pt idx="46">
                  <c:v>114477.2103394843</c:v>
                </c:pt>
                <c:pt idx="48">
                  <c:v>107433.1933967357</c:v>
                </c:pt>
                <c:pt idx="50">
                  <c:v>105190.5891529893</c:v>
                </c:pt>
                <c:pt idx="51">
                  <c:v>100169.2933746153</c:v>
                </c:pt>
                <c:pt idx="52">
                  <c:v>100511.2035670294</c:v>
                </c:pt>
                <c:pt idx="53">
                  <c:v>101889.9929636068</c:v>
                </c:pt>
                <c:pt idx="54">
                  <c:v>106597.6567095512</c:v>
                </c:pt>
                <c:pt idx="55">
                  <c:v>99535.355349565536</c:v>
                </c:pt>
                <c:pt idx="56">
                  <c:v>100705.0815001025</c:v>
                </c:pt>
                <c:pt idx="57">
                  <c:v>96264.706565876957</c:v>
                </c:pt>
                <c:pt idx="58">
                  <c:v>95750.936790168067</c:v>
                </c:pt>
                <c:pt idx="59">
                  <c:v>94969.692216597046</c:v>
                </c:pt>
                <c:pt idx="61">
                  <c:v>93386.96963147448</c:v>
                </c:pt>
                <c:pt idx="64">
                  <c:v>89758.720710939582</c:v>
                </c:pt>
                <c:pt idx="65">
                  <c:v>88163.880405338379</c:v>
                </c:pt>
                <c:pt idx="66">
                  <c:v>85933.691847197304</c:v>
                </c:pt>
                <c:pt idx="67">
                  <c:v>89463.017813698243</c:v>
                </c:pt>
                <c:pt idx="68">
                  <c:v>88230.931722249923</c:v>
                </c:pt>
                <c:pt idx="69">
                  <c:v>87776.228837335395</c:v>
                </c:pt>
                <c:pt idx="70">
                  <c:v>88974.978323087751</c:v>
                </c:pt>
                <c:pt idx="71">
                  <c:v>75315.511702259086</c:v>
                </c:pt>
                <c:pt idx="72">
                  <c:v>84480.768964649367</c:v>
                </c:pt>
                <c:pt idx="73">
                  <c:v>81174.399092927459</c:v>
                </c:pt>
                <c:pt idx="74">
                  <c:v>63023.078806091711</c:v>
                </c:pt>
                <c:pt idx="75">
                  <c:v>84003.32156177354</c:v>
                </c:pt>
                <c:pt idx="76">
                  <c:v>86714.505353736837</c:v>
                </c:pt>
                <c:pt idx="77">
                  <c:v>81597.856536587511</c:v>
                </c:pt>
                <c:pt idx="78">
                  <c:v>79587.607709389558</c:v>
                </c:pt>
                <c:pt idx="79">
                  <c:v>78821.618063986738</c:v>
                </c:pt>
                <c:pt idx="80">
                  <c:v>77402.505813010896</c:v>
                </c:pt>
                <c:pt idx="81">
                  <c:v>77824.644677589298</c:v>
                </c:pt>
                <c:pt idx="82">
                  <c:v>76179.267785286531</c:v>
                </c:pt>
                <c:pt idx="83">
                  <c:v>73684.128128707845</c:v>
                </c:pt>
                <c:pt idx="84">
                  <c:v>68021.629055516998</c:v>
                </c:pt>
                <c:pt idx="85">
                  <c:v>68556.733058403886</c:v>
                </c:pt>
                <c:pt idx="86">
                  <c:v>67161.91793559627</c:v>
                </c:pt>
                <c:pt idx="87">
                  <c:v>64557.143983680893</c:v>
                </c:pt>
                <c:pt idx="88">
                  <c:v>63202.752178665658</c:v>
                </c:pt>
                <c:pt idx="90">
                  <c:v>59842.431282898469</c:v>
                </c:pt>
                <c:pt idx="92">
                  <c:v>57645.984520331847</c:v>
                </c:pt>
                <c:pt idx="93">
                  <c:v>58057.408943634422</c:v>
                </c:pt>
                <c:pt idx="94">
                  <c:v>51620.818120775133</c:v>
                </c:pt>
                <c:pt idx="95">
                  <c:v>51474.951430756257</c:v>
                </c:pt>
                <c:pt idx="96">
                  <c:v>49031.143823603139</c:v>
                </c:pt>
                <c:pt idx="97">
                  <c:v>46495.043522703243</c:v>
                </c:pt>
                <c:pt idx="98">
                  <c:v>37337.277719845923</c:v>
                </c:pt>
                <c:pt idx="99">
                  <c:v>39050.507370849467</c:v>
                </c:pt>
                <c:pt idx="101">
                  <c:v>35106.681797873884</c:v>
                </c:pt>
                <c:pt idx="102">
                  <c:v>32482.840828735589</c:v>
                </c:pt>
                <c:pt idx="103">
                  <c:v>31565.465261654648</c:v>
                </c:pt>
                <c:pt idx="104">
                  <c:v>29523.598140976439</c:v>
                </c:pt>
                <c:pt idx="105">
                  <c:v>28385.556891674409</c:v>
                </c:pt>
                <c:pt idx="107">
                  <c:v>24571.26946632308</c:v>
                </c:pt>
                <c:pt idx="108">
                  <c:v>24282.95437123768</c:v>
                </c:pt>
                <c:pt idx="109">
                  <c:v>23424.1874015102</c:v>
                </c:pt>
                <c:pt idx="110">
                  <c:v>22681.821672947401</c:v>
                </c:pt>
                <c:pt idx="112">
                  <c:v>18434.152709688529</c:v>
                </c:pt>
                <c:pt idx="114">
                  <c:v>17157.87108499134</c:v>
                </c:pt>
                <c:pt idx="115">
                  <c:v>14473.825958761199</c:v>
                </c:pt>
                <c:pt idx="116">
                  <c:v>12595.624986966581</c:v>
                </c:pt>
                <c:pt idx="117">
                  <c:v>12988.58194520291</c:v>
                </c:pt>
                <c:pt idx="118">
                  <c:v>9286.0077761141165</c:v>
                </c:pt>
                <c:pt idx="119">
                  <c:v>7242.2544412383349</c:v>
                </c:pt>
                <c:pt idx="120">
                  <c:v>5510.368325800152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3F16-42FC-8C26-D8F18C5E2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6401520"/>
        <c:axId val="249943920"/>
      </c:scatterChart>
      <c:valAx>
        <c:axId val="1746401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角度 (</a:t>
                </a: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𝜃</a:t>
                </a: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) 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49943920"/>
        <c:crosses val="autoZero"/>
        <c:crossBetween val="midCat"/>
      </c:valAx>
      <c:valAx>
        <c:axId val="24994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Integration Value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46401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(z=2) Integration_Result vs. Angle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Intersections!$P$25:$P$144</c:f>
              <c:numCache>
                <c:formatCode>General</c:formatCode>
                <c:ptCount val="120"/>
                <c:pt idx="0">
                  <c:v>0.3919261855777969</c:v>
                </c:pt>
                <c:pt idx="1">
                  <c:v>0.38647130435371446</c:v>
                </c:pt>
                <c:pt idx="2">
                  <c:v>0.38711523014084159</c:v>
                </c:pt>
                <c:pt idx="3">
                  <c:v>0.36630129195529149</c:v>
                </c:pt>
                <c:pt idx="4">
                  <c:v>0.37184057534863335</c:v>
                </c:pt>
                <c:pt idx="5">
                  <c:v>0.3546612558253166</c:v>
                </c:pt>
                <c:pt idx="6">
                  <c:v>0.35637796828283252</c:v>
                </c:pt>
                <c:pt idx="7">
                  <c:v>0.35389009392801962</c:v>
                </c:pt>
                <c:pt idx="8">
                  <c:v>0.34417400294195488</c:v>
                </c:pt>
                <c:pt idx="9">
                  <c:v>0.33240526169147144</c:v>
                </c:pt>
                <c:pt idx="10">
                  <c:v>0.33146085478783838</c:v>
                </c:pt>
                <c:pt idx="11">
                  <c:v>0.31805199418910113</c:v>
                </c:pt>
                <c:pt idx="12">
                  <c:v>0.31418543196112902</c:v>
                </c:pt>
                <c:pt idx="13">
                  <c:v>0.31139444419389828</c:v>
                </c:pt>
                <c:pt idx="14">
                  <c:v>0.30412998802324132</c:v>
                </c:pt>
                <c:pt idx="15">
                  <c:v>0.2988960478327134</c:v>
                </c:pt>
                <c:pt idx="16">
                  <c:v>0.29127431806100912</c:v>
                </c:pt>
                <c:pt idx="17">
                  <c:v>0.28681836861143939</c:v>
                </c:pt>
                <c:pt idx="18">
                  <c:v>0.28187773926347615</c:v>
                </c:pt>
                <c:pt idx="19">
                  <c:v>0.27338768637917421</c:v>
                </c:pt>
                <c:pt idx="20">
                  <c:v>0.26663846403451275</c:v>
                </c:pt>
                <c:pt idx="21">
                  <c:v>0.25833776722736879</c:v>
                </c:pt>
                <c:pt idx="22">
                  <c:v>0.25075405716391619</c:v>
                </c:pt>
                <c:pt idx="23">
                  <c:v>0.24236733285474799</c:v>
                </c:pt>
                <c:pt idx="24">
                  <c:v>0.23636696942885549</c:v>
                </c:pt>
                <c:pt idx="25">
                  <c:v>0.23051086228709994</c:v>
                </c:pt>
                <c:pt idx="26">
                  <c:v>0.22427100058549976</c:v>
                </c:pt>
                <c:pt idx="27">
                  <c:v>0.21753095128880151</c:v>
                </c:pt>
                <c:pt idx="28">
                  <c:v>0.2110965856389535</c:v>
                </c:pt>
                <c:pt idx="29">
                  <c:v>0.21137778109195682</c:v>
                </c:pt>
                <c:pt idx="30">
                  <c:v>0.19804581440291114</c:v>
                </c:pt>
                <c:pt idx="31">
                  <c:v>0.19330882185251208</c:v>
                </c:pt>
                <c:pt idx="32">
                  <c:v>0.18559932878464314</c:v>
                </c:pt>
                <c:pt idx="33">
                  <c:v>0.17681107098325421</c:v>
                </c:pt>
                <c:pt idx="34">
                  <c:v>0.16872990709975322</c:v>
                </c:pt>
                <c:pt idx="35">
                  <c:v>0.16469661194991492</c:v>
                </c:pt>
                <c:pt idx="36">
                  <c:v>0.15353484225663316</c:v>
                </c:pt>
                <c:pt idx="37">
                  <c:v>0.14622802047811345</c:v>
                </c:pt>
                <c:pt idx="38">
                  <c:v>0.14059867730640718</c:v>
                </c:pt>
                <c:pt idx="39">
                  <c:v>0.13117826405569866</c:v>
                </c:pt>
                <c:pt idx="40">
                  <c:v>0.12617067288764461</c:v>
                </c:pt>
                <c:pt idx="41">
                  <c:v>0.1174043976756296</c:v>
                </c:pt>
                <c:pt idx="42">
                  <c:v>0.11032905183741937</c:v>
                </c:pt>
                <c:pt idx="43">
                  <c:v>0.10332241057073777</c:v>
                </c:pt>
                <c:pt idx="44">
                  <c:v>9.5632539742997125E-2</c:v>
                </c:pt>
                <c:pt idx="45">
                  <c:v>9.081370507436537E-2</c:v>
                </c:pt>
                <c:pt idx="46">
                  <c:v>8.4972040590125975E-2</c:v>
                </c:pt>
                <c:pt idx="47">
                  <c:v>7.9232390530960206E-2</c:v>
                </c:pt>
                <c:pt idx="48">
                  <c:v>7.2410685890293314E-2</c:v>
                </c:pt>
                <c:pt idx="49">
                  <c:v>6.761271778151734E-2</c:v>
                </c:pt>
                <c:pt idx="50">
                  <c:v>6.03645624632283E-2</c:v>
                </c:pt>
                <c:pt idx="51">
                  <c:v>5.1736013316550755E-2</c:v>
                </c:pt>
                <c:pt idx="52">
                  <c:v>4.6756191020755233E-2</c:v>
                </c:pt>
                <c:pt idx="53">
                  <c:v>4.0891056538197468E-2</c:v>
                </c:pt>
                <c:pt idx="54">
                  <c:v>3.3690078500787424E-2</c:v>
                </c:pt>
                <c:pt idx="55">
                  <c:v>2.7156083897222683E-2</c:v>
                </c:pt>
                <c:pt idx="56">
                  <c:v>1.9577781674921857E-2</c:v>
                </c:pt>
                <c:pt idx="57">
                  <c:v>1.3070360564497507E-2</c:v>
                </c:pt>
                <c:pt idx="58">
                  <c:v>7.8073999187961984E-3</c:v>
                </c:pt>
                <c:pt idx="59">
                  <c:v>3.0013658446705893E-3</c:v>
                </c:pt>
                <c:pt idx="60">
                  <c:v>0</c:v>
                </c:pt>
                <c:pt idx="61">
                  <c:v>-3.0894159094763447</c:v>
                </c:pt>
                <c:pt idx="62">
                  <c:v>-2.5727506558224755E-2</c:v>
                </c:pt>
                <c:pt idx="63">
                  <c:v>-2.4293884555948386E-2</c:v>
                </c:pt>
                <c:pt idx="64">
                  <c:v>-2.9172591567834472E-2</c:v>
                </c:pt>
                <c:pt idx="65">
                  <c:v>-3.4960508212720454E-2</c:v>
                </c:pt>
                <c:pt idx="66">
                  <c:v>-4.1058124035442178E-2</c:v>
                </c:pt>
                <c:pt idx="67">
                  <c:v>-4.7497063103036918E-2</c:v>
                </c:pt>
                <c:pt idx="68">
                  <c:v>-5.4791036445474894E-2</c:v>
                </c:pt>
                <c:pt idx="69">
                  <c:v>-6.3647306864204278E-2</c:v>
                </c:pt>
                <c:pt idx="70">
                  <c:v>-7.079579008625525E-2</c:v>
                </c:pt>
                <c:pt idx="71">
                  <c:v>-7.7874596255628648E-2</c:v>
                </c:pt>
                <c:pt idx="72">
                  <c:v>-8.3442658798002389E-2</c:v>
                </c:pt>
                <c:pt idx="73">
                  <c:v>-8.874556275455836E-2</c:v>
                </c:pt>
                <c:pt idx="74">
                  <c:v>-9.6129159316409307E-2</c:v>
                </c:pt>
                <c:pt idx="75">
                  <c:v>-0.10229127199776622</c:v>
                </c:pt>
                <c:pt idx="76">
                  <c:v>-0.1073724655442887</c:v>
                </c:pt>
                <c:pt idx="77">
                  <c:v>-0.11711925012946223</c:v>
                </c:pt>
                <c:pt idx="78">
                  <c:v>-0.12441447366076397</c:v>
                </c:pt>
                <c:pt idx="79">
                  <c:v>-0.13207226508175074</c:v>
                </c:pt>
                <c:pt idx="80">
                  <c:v>-0.13939932036173253</c:v>
                </c:pt>
                <c:pt idx="81">
                  <c:v>-0.14731614595350617</c:v>
                </c:pt>
                <c:pt idx="82">
                  <c:v>-0.15357091571806936</c:v>
                </c:pt>
                <c:pt idx="83">
                  <c:v>-0.15942380940187539</c:v>
                </c:pt>
                <c:pt idx="84">
                  <c:v>-0.16807069588115797</c:v>
                </c:pt>
                <c:pt idx="85">
                  <c:v>-0.1739154122197113</c:v>
                </c:pt>
                <c:pt idx="86">
                  <c:v>-0.1824487104727317</c:v>
                </c:pt>
                <c:pt idx="87">
                  <c:v>-0.1850097345433217</c:v>
                </c:pt>
                <c:pt idx="88">
                  <c:v>-0.19229420193507041</c:v>
                </c:pt>
                <c:pt idx="89">
                  <c:v>-0.20128133020072214</c:v>
                </c:pt>
                <c:pt idx="90">
                  <c:v>-0.20765701137148196</c:v>
                </c:pt>
                <c:pt idx="91">
                  <c:v>-0.2142751816411923</c:v>
                </c:pt>
                <c:pt idx="92">
                  <c:v>-0.2217652776740977</c:v>
                </c:pt>
                <c:pt idx="93">
                  <c:v>-0.2284707477287331</c:v>
                </c:pt>
                <c:pt idx="94">
                  <c:v>-0.24098736582955071</c:v>
                </c:pt>
                <c:pt idx="95">
                  <c:v>-0.24911855693675045</c:v>
                </c:pt>
                <c:pt idx="96">
                  <c:v>-0.25687043436837431</c:v>
                </c:pt>
                <c:pt idx="97">
                  <c:v>-0.26823092844717067</c:v>
                </c:pt>
                <c:pt idx="98">
                  <c:v>-0.27448529758475027</c:v>
                </c:pt>
                <c:pt idx="99">
                  <c:v>-0.28362414548163906</c:v>
                </c:pt>
                <c:pt idx="100">
                  <c:v>-0.29216589929608205</c:v>
                </c:pt>
                <c:pt idx="101">
                  <c:v>-0.29765108301611343</c:v>
                </c:pt>
                <c:pt idx="102">
                  <c:v>-0.30873828581373552</c:v>
                </c:pt>
                <c:pt idx="103">
                  <c:v>-0.31564155446742204</c:v>
                </c:pt>
                <c:pt idx="104">
                  <c:v>-0.3221999490417784</c:v>
                </c:pt>
                <c:pt idx="105">
                  <c:v>-0.32567225737898986</c:v>
                </c:pt>
                <c:pt idx="106">
                  <c:v>-0.33828295290056376</c:v>
                </c:pt>
                <c:pt idx="107">
                  <c:v>-0.34721379738771496</c:v>
                </c:pt>
                <c:pt idx="108">
                  <c:v>-0.35033682351830309</c:v>
                </c:pt>
                <c:pt idx="109">
                  <c:v>-0.36189235582567059</c:v>
                </c:pt>
                <c:pt idx="110">
                  <c:v>-0.37436206461141985</c:v>
                </c:pt>
                <c:pt idx="111">
                  <c:v>-0.38404525256570343</c:v>
                </c:pt>
                <c:pt idx="112">
                  <c:v>-0.39175610198077049</c:v>
                </c:pt>
                <c:pt idx="113">
                  <c:v>-0.38783124084797893</c:v>
                </c:pt>
                <c:pt idx="114">
                  <c:v>-0.42001685298511315</c:v>
                </c:pt>
                <c:pt idx="115">
                  <c:v>-0.4192038016599009</c:v>
                </c:pt>
                <c:pt idx="116">
                  <c:v>-0.39668304121538545</c:v>
                </c:pt>
                <c:pt idx="117">
                  <c:v>-0.43874920078792856</c:v>
                </c:pt>
                <c:pt idx="118">
                  <c:v>-0.42764106087510201</c:v>
                </c:pt>
                <c:pt idx="119">
                  <c:v>-0.44667268220316414</c:v>
                </c:pt>
              </c:numCache>
            </c:numRef>
          </c:xVal>
          <c:yVal>
            <c:numRef>
              <c:f>Intersections!$AC$25:$AC$144</c:f>
              <c:numCache>
                <c:formatCode>General</c:formatCode>
                <c:ptCount val="120"/>
                <c:pt idx="0">
                  <c:v>43858.781519834483</c:v>
                </c:pt>
                <c:pt idx="1">
                  <c:v>46717.816828320487</c:v>
                </c:pt>
                <c:pt idx="2">
                  <c:v>44912.133915781807</c:v>
                </c:pt>
                <c:pt idx="3">
                  <c:v>55313.672623274128</c:v>
                </c:pt>
                <c:pt idx="4">
                  <c:v>67641.495466795124</c:v>
                </c:pt>
                <c:pt idx="5">
                  <c:v>69517.045392139698</c:v>
                </c:pt>
                <c:pt idx="6">
                  <c:v>81706.692792089554</c:v>
                </c:pt>
                <c:pt idx="7">
                  <c:v>81223.790667735637</c:v>
                </c:pt>
                <c:pt idx="8">
                  <c:v>94108.617656164322</c:v>
                </c:pt>
                <c:pt idx="9">
                  <c:v>102471.9599842255</c:v>
                </c:pt>
                <c:pt idx="10">
                  <c:v>107157.6018228836</c:v>
                </c:pt>
                <c:pt idx="11">
                  <c:v>128507.01264519821</c:v>
                </c:pt>
                <c:pt idx="12">
                  <c:v>135300.13924993231</c:v>
                </c:pt>
                <c:pt idx="13">
                  <c:v>159234.73758259919</c:v>
                </c:pt>
                <c:pt idx="14">
                  <c:v>170972.96981863171</c:v>
                </c:pt>
                <c:pt idx="15">
                  <c:v>188903.25895230001</c:v>
                </c:pt>
                <c:pt idx="16">
                  <c:v>207535.2940300777</c:v>
                </c:pt>
                <c:pt idx="17">
                  <c:v>220577.82692114171</c:v>
                </c:pt>
                <c:pt idx="18">
                  <c:v>236304.91733820221</c:v>
                </c:pt>
                <c:pt idx="19">
                  <c:v>253647.050370265</c:v>
                </c:pt>
                <c:pt idx="20">
                  <c:v>288180.67714835028</c:v>
                </c:pt>
                <c:pt idx="21">
                  <c:v>302645.46753873827</c:v>
                </c:pt>
                <c:pt idx="22">
                  <c:v>321082.79517925088</c:v>
                </c:pt>
                <c:pt idx="23">
                  <c:v>329494.94161749462</c:v>
                </c:pt>
                <c:pt idx="24">
                  <c:v>353192.12438763672</c:v>
                </c:pt>
                <c:pt idx="25">
                  <c:v>389020.19325283071</c:v>
                </c:pt>
                <c:pt idx="26">
                  <c:v>421146.40248021862</c:v>
                </c:pt>
                <c:pt idx="27">
                  <c:v>410873.3326446758</c:v>
                </c:pt>
                <c:pt idx="29">
                  <c:v>451817.69684113353</c:v>
                </c:pt>
                <c:pt idx="30">
                  <c:v>471548.97024129698</c:v>
                </c:pt>
                <c:pt idx="32">
                  <c:v>497475.15809537901</c:v>
                </c:pt>
                <c:pt idx="33">
                  <c:v>487389.09867927787</c:v>
                </c:pt>
                <c:pt idx="34">
                  <c:v>502814.13718274358</c:v>
                </c:pt>
                <c:pt idx="36">
                  <c:v>553284.78147934983</c:v>
                </c:pt>
                <c:pt idx="37">
                  <c:v>564709.23313566076</c:v>
                </c:pt>
                <c:pt idx="39">
                  <c:v>580472.23934963008</c:v>
                </c:pt>
                <c:pt idx="40">
                  <c:v>560678.84514884034</c:v>
                </c:pt>
                <c:pt idx="41">
                  <c:v>563260.45720630127</c:v>
                </c:pt>
                <c:pt idx="42">
                  <c:v>560741.92967601551</c:v>
                </c:pt>
                <c:pt idx="43">
                  <c:v>560563.88097871561</c:v>
                </c:pt>
                <c:pt idx="44">
                  <c:v>508609.51951395703</c:v>
                </c:pt>
                <c:pt idx="45">
                  <c:v>541002.80667781155</c:v>
                </c:pt>
                <c:pt idx="46">
                  <c:v>500331.00516304962</c:v>
                </c:pt>
                <c:pt idx="47">
                  <c:v>501058.15945266688</c:v>
                </c:pt>
                <c:pt idx="49">
                  <c:v>493865.46584406699</c:v>
                </c:pt>
                <c:pt idx="50">
                  <c:v>495720.00849585747</c:v>
                </c:pt>
                <c:pt idx="51">
                  <c:v>478199.07139587379</c:v>
                </c:pt>
                <c:pt idx="52">
                  <c:v>485002.33325806312</c:v>
                </c:pt>
                <c:pt idx="54">
                  <c:v>463671.94296555832</c:v>
                </c:pt>
                <c:pt idx="56">
                  <c:v>464384.42469486449</c:v>
                </c:pt>
                <c:pt idx="57">
                  <c:v>433212.57160029409</c:v>
                </c:pt>
                <c:pt idx="58">
                  <c:v>426689.33628018579</c:v>
                </c:pt>
                <c:pt idx="59">
                  <c:v>422827.72872200678</c:v>
                </c:pt>
                <c:pt idx="60">
                  <c:v>415333.93279926782</c:v>
                </c:pt>
                <c:pt idx="61">
                  <c:v>395646.5880197112</c:v>
                </c:pt>
                <c:pt idx="63">
                  <c:v>385298.33353518328</c:v>
                </c:pt>
                <c:pt idx="64">
                  <c:v>368735.88597598177</c:v>
                </c:pt>
                <c:pt idx="65">
                  <c:v>373209.2022531472</c:v>
                </c:pt>
                <c:pt idx="66">
                  <c:v>369280.80996761622</c:v>
                </c:pt>
                <c:pt idx="67">
                  <c:v>360660.82666084787</c:v>
                </c:pt>
                <c:pt idx="68">
                  <c:v>353589.80688041809</c:v>
                </c:pt>
                <c:pt idx="69">
                  <c:v>339253.56083783507</c:v>
                </c:pt>
                <c:pt idx="71">
                  <c:v>337742.06971329451</c:v>
                </c:pt>
                <c:pt idx="72">
                  <c:v>345239.70967423578</c:v>
                </c:pt>
                <c:pt idx="74">
                  <c:v>309640.51125062571</c:v>
                </c:pt>
                <c:pt idx="75">
                  <c:v>326890.28292802529</c:v>
                </c:pt>
                <c:pt idx="76">
                  <c:v>299235.05163390032</c:v>
                </c:pt>
                <c:pt idx="77">
                  <c:v>296647.53226675681</c:v>
                </c:pt>
                <c:pt idx="78">
                  <c:v>290755.91833288729</c:v>
                </c:pt>
                <c:pt idx="79">
                  <c:v>270287.39811926888</c:v>
                </c:pt>
                <c:pt idx="80">
                  <c:v>255922.8512758447</c:v>
                </c:pt>
                <c:pt idx="81">
                  <c:v>251650.30117643441</c:v>
                </c:pt>
                <c:pt idx="82">
                  <c:v>245011.75983603881</c:v>
                </c:pt>
                <c:pt idx="83">
                  <c:v>231327.6267179852</c:v>
                </c:pt>
                <c:pt idx="85">
                  <c:v>214786.4180690583</c:v>
                </c:pt>
                <c:pt idx="86">
                  <c:v>207312.3909257621</c:v>
                </c:pt>
                <c:pt idx="87">
                  <c:v>188489.10488368021</c:v>
                </c:pt>
                <c:pt idx="89">
                  <c:v>197484.51128757931</c:v>
                </c:pt>
                <c:pt idx="91">
                  <c:v>180529.0106464765</c:v>
                </c:pt>
                <c:pt idx="92">
                  <c:v>167948.98303323871</c:v>
                </c:pt>
                <c:pt idx="93">
                  <c:v>155363.27955994051</c:v>
                </c:pt>
                <c:pt idx="94">
                  <c:v>141412.48560560471</c:v>
                </c:pt>
                <c:pt idx="95">
                  <c:v>129708.3679133461</c:v>
                </c:pt>
                <c:pt idx="96">
                  <c:v>125670.24405870341</c:v>
                </c:pt>
                <c:pt idx="97">
                  <c:v>119976.4464028139</c:v>
                </c:pt>
                <c:pt idx="98">
                  <c:v>101922.55426147921</c:v>
                </c:pt>
                <c:pt idx="99">
                  <c:v>97209.945425609883</c:v>
                </c:pt>
                <c:pt idx="100">
                  <c:v>88704.205516069356</c:v>
                </c:pt>
                <c:pt idx="101">
                  <c:v>73364.250065132263</c:v>
                </c:pt>
                <c:pt idx="102">
                  <c:v>67997.724586080658</c:v>
                </c:pt>
                <c:pt idx="104">
                  <c:v>67611.813794502508</c:v>
                </c:pt>
                <c:pt idx="105">
                  <c:v>53194.825381995572</c:v>
                </c:pt>
                <c:pt idx="106">
                  <c:v>47839.777255819798</c:v>
                </c:pt>
                <c:pt idx="107">
                  <c:v>43956.363930689702</c:v>
                </c:pt>
                <c:pt idx="108">
                  <c:v>38117.388806490417</c:v>
                </c:pt>
                <c:pt idx="110">
                  <c:v>31572.278836740112</c:v>
                </c:pt>
                <c:pt idx="111">
                  <c:v>29456.213531106099</c:v>
                </c:pt>
                <c:pt idx="113">
                  <c:v>23365.58961847558</c:v>
                </c:pt>
                <c:pt idx="114">
                  <c:v>20428.240078388011</c:v>
                </c:pt>
                <c:pt idx="115">
                  <c:v>17012.611325017071</c:v>
                </c:pt>
                <c:pt idx="116">
                  <c:v>12412.91200014417</c:v>
                </c:pt>
                <c:pt idx="118">
                  <c:v>10706.731631383231</c:v>
                </c:pt>
                <c:pt idx="119">
                  <c:v>8924.3559437216463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C715-4798-8615-96BB43055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5823088"/>
        <c:axId val="1625823568"/>
      </c:scatterChart>
      <c:valAx>
        <c:axId val="1625823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角度 (</a:t>
                </a: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𝜃</a:t>
                </a: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) 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.43422922134733161"/>
              <c:y val="0.769050379119276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25823568"/>
        <c:crosses val="autoZero"/>
        <c:crossBetween val="midCat"/>
      </c:valAx>
      <c:valAx>
        <c:axId val="162582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Integration Value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2.7777777777777776E-2"/>
              <c:y val="0.298626421697287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25823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(z=4) Integration_Result vs. Angle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Intersections!$P$25:$P$144</c:f>
              <c:numCache>
                <c:formatCode>General</c:formatCode>
                <c:ptCount val="120"/>
                <c:pt idx="0">
                  <c:v>0.3919261855777969</c:v>
                </c:pt>
                <c:pt idx="1">
                  <c:v>0.38647130435371446</c:v>
                </c:pt>
                <c:pt idx="2">
                  <c:v>0.38711523014084159</c:v>
                </c:pt>
                <c:pt idx="3">
                  <c:v>0.36630129195529149</c:v>
                </c:pt>
                <c:pt idx="4">
                  <c:v>0.37184057534863335</c:v>
                </c:pt>
                <c:pt idx="5">
                  <c:v>0.3546612558253166</c:v>
                </c:pt>
                <c:pt idx="6">
                  <c:v>0.35637796828283252</c:v>
                </c:pt>
                <c:pt idx="7">
                  <c:v>0.35389009392801962</c:v>
                </c:pt>
                <c:pt idx="8">
                  <c:v>0.34417400294195488</c:v>
                </c:pt>
                <c:pt idx="9">
                  <c:v>0.33240526169147144</c:v>
                </c:pt>
                <c:pt idx="10">
                  <c:v>0.33146085478783838</c:v>
                </c:pt>
                <c:pt idx="11">
                  <c:v>0.31805199418910113</c:v>
                </c:pt>
                <c:pt idx="12">
                  <c:v>0.31418543196112902</c:v>
                </c:pt>
                <c:pt idx="13">
                  <c:v>0.31139444419389828</c:v>
                </c:pt>
                <c:pt idx="14">
                  <c:v>0.30412998802324132</c:v>
                </c:pt>
                <c:pt idx="15">
                  <c:v>0.2988960478327134</c:v>
                </c:pt>
                <c:pt idx="16">
                  <c:v>0.29127431806100912</c:v>
                </c:pt>
                <c:pt idx="17">
                  <c:v>0.28681836861143939</c:v>
                </c:pt>
                <c:pt idx="18">
                  <c:v>0.28187773926347615</c:v>
                </c:pt>
                <c:pt idx="19">
                  <c:v>0.27338768637917421</c:v>
                </c:pt>
                <c:pt idx="20">
                  <c:v>0.26663846403451275</c:v>
                </c:pt>
                <c:pt idx="21">
                  <c:v>0.25833776722736879</c:v>
                </c:pt>
                <c:pt idx="22">
                  <c:v>0.25075405716391619</c:v>
                </c:pt>
                <c:pt idx="23">
                  <c:v>0.24236733285474799</c:v>
                </c:pt>
                <c:pt idx="24">
                  <c:v>0.23636696942885549</c:v>
                </c:pt>
                <c:pt idx="25">
                  <c:v>0.23051086228709994</c:v>
                </c:pt>
                <c:pt idx="26">
                  <c:v>0.22427100058549976</c:v>
                </c:pt>
                <c:pt idx="27">
                  <c:v>0.21753095128880151</c:v>
                </c:pt>
                <c:pt idx="28">
                  <c:v>0.2110965856389535</c:v>
                </c:pt>
                <c:pt idx="29">
                  <c:v>0.21137778109195682</c:v>
                </c:pt>
                <c:pt idx="30">
                  <c:v>0.19804581440291114</c:v>
                </c:pt>
                <c:pt idx="31">
                  <c:v>0.19330882185251208</c:v>
                </c:pt>
                <c:pt idx="32">
                  <c:v>0.18559932878464314</c:v>
                </c:pt>
                <c:pt idx="33">
                  <c:v>0.17681107098325421</c:v>
                </c:pt>
                <c:pt idx="34">
                  <c:v>0.16872990709975322</c:v>
                </c:pt>
                <c:pt idx="35">
                  <c:v>0.16469661194991492</c:v>
                </c:pt>
                <c:pt idx="36">
                  <c:v>0.15353484225663316</c:v>
                </c:pt>
                <c:pt idx="37">
                  <c:v>0.14622802047811345</c:v>
                </c:pt>
                <c:pt idx="38">
                  <c:v>0.14059867730640718</c:v>
                </c:pt>
                <c:pt idx="39">
                  <c:v>0.13117826405569866</c:v>
                </c:pt>
                <c:pt idx="40">
                  <c:v>0.12617067288764461</c:v>
                </c:pt>
                <c:pt idx="41">
                  <c:v>0.1174043976756296</c:v>
                </c:pt>
                <c:pt idx="42">
                  <c:v>0.11032905183741937</c:v>
                </c:pt>
                <c:pt idx="43">
                  <c:v>0.10332241057073777</c:v>
                </c:pt>
                <c:pt idx="44">
                  <c:v>9.5632539742997125E-2</c:v>
                </c:pt>
                <c:pt idx="45">
                  <c:v>9.081370507436537E-2</c:v>
                </c:pt>
                <c:pt idx="46">
                  <c:v>8.4972040590125975E-2</c:v>
                </c:pt>
                <c:pt idx="47">
                  <c:v>7.9232390530960206E-2</c:v>
                </c:pt>
                <c:pt idx="48">
                  <c:v>7.2410685890293314E-2</c:v>
                </c:pt>
                <c:pt idx="49">
                  <c:v>6.761271778151734E-2</c:v>
                </c:pt>
                <c:pt idx="50">
                  <c:v>6.03645624632283E-2</c:v>
                </c:pt>
                <c:pt idx="51">
                  <c:v>5.1736013316550755E-2</c:v>
                </c:pt>
                <c:pt idx="52">
                  <c:v>4.6756191020755233E-2</c:v>
                </c:pt>
                <c:pt idx="53">
                  <c:v>4.0891056538197468E-2</c:v>
                </c:pt>
                <c:pt idx="54">
                  <c:v>3.3690078500787424E-2</c:v>
                </c:pt>
                <c:pt idx="55">
                  <c:v>2.7156083897222683E-2</c:v>
                </c:pt>
                <c:pt idx="56">
                  <c:v>1.9577781674921857E-2</c:v>
                </c:pt>
                <c:pt idx="57">
                  <c:v>1.3070360564497507E-2</c:v>
                </c:pt>
                <c:pt idx="58">
                  <c:v>7.8073999187961984E-3</c:v>
                </c:pt>
                <c:pt idx="59">
                  <c:v>3.0013658446705893E-3</c:v>
                </c:pt>
                <c:pt idx="60">
                  <c:v>0</c:v>
                </c:pt>
                <c:pt idx="61">
                  <c:v>-3.0894159094763447</c:v>
                </c:pt>
                <c:pt idx="62">
                  <c:v>-2.5727506558224755E-2</c:v>
                </c:pt>
                <c:pt idx="63">
                  <c:v>-2.4293884555948386E-2</c:v>
                </c:pt>
                <c:pt idx="64">
                  <c:v>-2.9172591567834472E-2</c:v>
                </c:pt>
                <c:pt idx="65">
                  <c:v>-3.4960508212720454E-2</c:v>
                </c:pt>
                <c:pt idx="66">
                  <c:v>-4.1058124035442178E-2</c:v>
                </c:pt>
                <c:pt idx="67">
                  <c:v>-4.7497063103036918E-2</c:v>
                </c:pt>
                <c:pt idx="68">
                  <c:v>-5.4791036445474894E-2</c:v>
                </c:pt>
                <c:pt idx="69">
                  <c:v>-6.3647306864204278E-2</c:v>
                </c:pt>
                <c:pt idx="70">
                  <c:v>-7.079579008625525E-2</c:v>
                </c:pt>
                <c:pt idx="71">
                  <c:v>-7.7874596255628648E-2</c:v>
                </c:pt>
                <c:pt idx="72">
                  <c:v>-8.3442658798002389E-2</c:v>
                </c:pt>
                <c:pt idx="73">
                  <c:v>-8.874556275455836E-2</c:v>
                </c:pt>
                <c:pt idx="74">
                  <c:v>-9.6129159316409307E-2</c:v>
                </c:pt>
                <c:pt idx="75">
                  <c:v>-0.10229127199776622</c:v>
                </c:pt>
                <c:pt idx="76">
                  <c:v>-0.1073724655442887</c:v>
                </c:pt>
                <c:pt idx="77">
                  <c:v>-0.11711925012946223</c:v>
                </c:pt>
                <c:pt idx="78">
                  <c:v>-0.12441447366076397</c:v>
                </c:pt>
                <c:pt idx="79">
                  <c:v>-0.13207226508175074</c:v>
                </c:pt>
                <c:pt idx="80">
                  <c:v>-0.13939932036173253</c:v>
                </c:pt>
                <c:pt idx="81">
                  <c:v>-0.14731614595350617</c:v>
                </c:pt>
                <c:pt idx="82">
                  <c:v>-0.15357091571806936</c:v>
                </c:pt>
                <c:pt idx="83">
                  <c:v>-0.15942380940187539</c:v>
                </c:pt>
                <c:pt idx="84">
                  <c:v>-0.16807069588115797</c:v>
                </c:pt>
                <c:pt idx="85">
                  <c:v>-0.1739154122197113</c:v>
                </c:pt>
                <c:pt idx="86">
                  <c:v>-0.1824487104727317</c:v>
                </c:pt>
                <c:pt idx="87">
                  <c:v>-0.1850097345433217</c:v>
                </c:pt>
                <c:pt idx="88">
                  <c:v>-0.19229420193507041</c:v>
                </c:pt>
                <c:pt idx="89">
                  <c:v>-0.20128133020072214</c:v>
                </c:pt>
                <c:pt idx="90">
                  <c:v>-0.20765701137148196</c:v>
                </c:pt>
                <c:pt idx="91">
                  <c:v>-0.2142751816411923</c:v>
                </c:pt>
                <c:pt idx="92">
                  <c:v>-0.2217652776740977</c:v>
                </c:pt>
                <c:pt idx="93">
                  <c:v>-0.2284707477287331</c:v>
                </c:pt>
                <c:pt idx="94">
                  <c:v>-0.24098736582955071</c:v>
                </c:pt>
                <c:pt idx="95">
                  <c:v>-0.24911855693675045</c:v>
                </c:pt>
                <c:pt idx="96">
                  <c:v>-0.25687043436837431</c:v>
                </c:pt>
                <c:pt idx="97">
                  <c:v>-0.26823092844717067</c:v>
                </c:pt>
                <c:pt idx="98">
                  <c:v>-0.27448529758475027</c:v>
                </c:pt>
                <c:pt idx="99">
                  <c:v>-0.28362414548163906</c:v>
                </c:pt>
                <c:pt idx="100">
                  <c:v>-0.29216589929608205</c:v>
                </c:pt>
                <c:pt idx="101">
                  <c:v>-0.29765108301611343</c:v>
                </c:pt>
                <c:pt idx="102">
                  <c:v>-0.30873828581373552</c:v>
                </c:pt>
                <c:pt idx="103">
                  <c:v>-0.31564155446742204</c:v>
                </c:pt>
                <c:pt idx="104">
                  <c:v>-0.3221999490417784</c:v>
                </c:pt>
                <c:pt idx="105">
                  <c:v>-0.32567225737898986</c:v>
                </c:pt>
                <c:pt idx="106">
                  <c:v>-0.33828295290056376</c:v>
                </c:pt>
                <c:pt idx="107">
                  <c:v>-0.34721379738771496</c:v>
                </c:pt>
                <c:pt idx="108">
                  <c:v>-0.35033682351830309</c:v>
                </c:pt>
                <c:pt idx="109">
                  <c:v>-0.36189235582567059</c:v>
                </c:pt>
                <c:pt idx="110">
                  <c:v>-0.37436206461141985</c:v>
                </c:pt>
                <c:pt idx="111">
                  <c:v>-0.38404525256570343</c:v>
                </c:pt>
                <c:pt idx="112">
                  <c:v>-0.39175610198077049</c:v>
                </c:pt>
                <c:pt idx="113">
                  <c:v>-0.38783124084797893</c:v>
                </c:pt>
                <c:pt idx="114">
                  <c:v>-0.42001685298511315</c:v>
                </c:pt>
                <c:pt idx="115">
                  <c:v>-0.4192038016599009</c:v>
                </c:pt>
                <c:pt idx="116">
                  <c:v>-0.39668304121538545</c:v>
                </c:pt>
                <c:pt idx="117">
                  <c:v>-0.43874920078792856</c:v>
                </c:pt>
                <c:pt idx="118">
                  <c:v>-0.42764106087510201</c:v>
                </c:pt>
                <c:pt idx="119">
                  <c:v>-0.44667268220316414</c:v>
                </c:pt>
              </c:numCache>
            </c:numRef>
          </c:xVal>
          <c:yVal>
            <c:numRef>
              <c:f>Intersections!$AG$25:$AG$144</c:f>
              <c:numCache>
                <c:formatCode>General</c:formatCode>
                <c:ptCount val="120"/>
                <c:pt idx="0">
                  <c:v>30961.41061297293</c:v>
                </c:pt>
                <c:pt idx="1">
                  <c:v>54167.872049341939</c:v>
                </c:pt>
                <c:pt idx="2">
                  <c:v>54881.138274238583</c:v>
                </c:pt>
                <c:pt idx="3">
                  <c:v>72634.30138485413</c:v>
                </c:pt>
                <c:pt idx="4">
                  <c:v>99928.275155240917</c:v>
                </c:pt>
                <c:pt idx="5">
                  <c:v>117987.1825524279</c:v>
                </c:pt>
                <c:pt idx="6">
                  <c:v>122357.6827633463</c:v>
                </c:pt>
                <c:pt idx="7">
                  <c:v>150534.67583123481</c:v>
                </c:pt>
                <c:pt idx="8">
                  <c:v>138506.87016407849</c:v>
                </c:pt>
                <c:pt idx="9">
                  <c:v>160648.11316407661</c:v>
                </c:pt>
                <c:pt idx="10">
                  <c:v>176837.10357264179</c:v>
                </c:pt>
                <c:pt idx="12">
                  <c:v>225181.49254014331</c:v>
                </c:pt>
                <c:pt idx="13">
                  <c:v>291314.30801939481</c:v>
                </c:pt>
                <c:pt idx="14">
                  <c:v>325860.55967016931</c:v>
                </c:pt>
                <c:pt idx="15">
                  <c:v>356543.00045262848</c:v>
                </c:pt>
                <c:pt idx="16">
                  <c:v>412436.38156835322</c:v>
                </c:pt>
                <c:pt idx="17">
                  <c:v>450228.02612513187</c:v>
                </c:pt>
                <c:pt idx="18">
                  <c:v>511886.37262953859</c:v>
                </c:pt>
                <c:pt idx="19">
                  <c:v>536342.44710107986</c:v>
                </c:pt>
                <c:pt idx="20">
                  <c:v>594252.99929196632</c:v>
                </c:pt>
                <c:pt idx="21">
                  <c:v>598330.04824265977</c:v>
                </c:pt>
                <c:pt idx="22">
                  <c:v>697675.49197755591</c:v>
                </c:pt>
                <c:pt idx="23">
                  <c:v>682026.97901997017</c:v>
                </c:pt>
                <c:pt idx="24">
                  <c:v>755598.63614827499</c:v>
                </c:pt>
                <c:pt idx="25">
                  <c:v>785033.06483259273</c:v>
                </c:pt>
                <c:pt idx="26">
                  <c:v>828230.43173918326</c:v>
                </c:pt>
                <c:pt idx="28">
                  <c:v>871842.66199866333</c:v>
                </c:pt>
                <c:pt idx="29">
                  <c:v>919678.55675160373</c:v>
                </c:pt>
                <c:pt idx="32">
                  <c:v>949240.31571154285</c:v>
                </c:pt>
                <c:pt idx="33">
                  <c:v>911794.83674966462</c:v>
                </c:pt>
                <c:pt idx="34">
                  <c:v>948154.11721978674</c:v>
                </c:pt>
                <c:pt idx="35">
                  <c:v>972394.93881806242</c:v>
                </c:pt>
                <c:pt idx="36">
                  <c:v>1033706.95321872</c:v>
                </c:pt>
                <c:pt idx="37">
                  <c:v>1062706.6717982851</c:v>
                </c:pt>
                <c:pt idx="38">
                  <c:v>1061284.2436830809</c:v>
                </c:pt>
                <c:pt idx="39">
                  <c:v>1040963.71954688</c:v>
                </c:pt>
                <c:pt idx="40">
                  <c:v>1033899.683034625</c:v>
                </c:pt>
                <c:pt idx="41">
                  <c:v>1065308.7344972671</c:v>
                </c:pt>
                <c:pt idx="43">
                  <c:v>1073653.5804633731</c:v>
                </c:pt>
                <c:pt idx="45">
                  <c:v>977168.29130269017</c:v>
                </c:pt>
                <c:pt idx="46">
                  <c:v>1093460.032705327</c:v>
                </c:pt>
                <c:pt idx="48">
                  <c:v>1007079.027705536</c:v>
                </c:pt>
                <c:pt idx="49">
                  <c:v>1066910.513846972</c:v>
                </c:pt>
                <c:pt idx="50">
                  <c:v>1036270.853134112</c:v>
                </c:pt>
                <c:pt idx="52">
                  <c:v>1041565.845735505</c:v>
                </c:pt>
                <c:pt idx="55">
                  <c:v>1015715.465482073</c:v>
                </c:pt>
                <c:pt idx="56">
                  <c:v>997218.7748969458</c:v>
                </c:pt>
                <c:pt idx="57">
                  <c:v>928726.11042168189</c:v>
                </c:pt>
                <c:pt idx="58">
                  <c:v>911253.40948269051</c:v>
                </c:pt>
                <c:pt idx="59">
                  <c:v>879767.39867927693</c:v>
                </c:pt>
                <c:pt idx="60">
                  <c:v>875911.51311978116</c:v>
                </c:pt>
                <c:pt idx="61">
                  <c:v>856195.13829309982</c:v>
                </c:pt>
                <c:pt idx="62">
                  <c:v>833786.17907851667</c:v>
                </c:pt>
                <c:pt idx="63">
                  <c:v>784025.11683184386</c:v>
                </c:pt>
                <c:pt idx="64">
                  <c:v>744578.99812414858</c:v>
                </c:pt>
                <c:pt idx="65">
                  <c:v>706148.94810870802</c:v>
                </c:pt>
                <c:pt idx="66">
                  <c:v>719527.63510376378</c:v>
                </c:pt>
                <c:pt idx="68">
                  <c:v>673729.34881745232</c:v>
                </c:pt>
                <c:pt idx="69">
                  <c:v>675083.56868044124</c:v>
                </c:pt>
                <c:pt idx="70">
                  <c:v>626003.95845941594</c:v>
                </c:pt>
                <c:pt idx="71">
                  <c:v>624492.50335893361</c:v>
                </c:pt>
                <c:pt idx="72">
                  <c:v>578814.82480387017</c:v>
                </c:pt>
                <c:pt idx="73">
                  <c:v>555424.40244839014</c:v>
                </c:pt>
                <c:pt idx="74">
                  <c:v>566866.71793662524</c:v>
                </c:pt>
                <c:pt idx="75">
                  <c:v>528895.01707804843</c:v>
                </c:pt>
                <c:pt idx="76">
                  <c:v>529471.07876622549</c:v>
                </c:pt>
                <c:pt idx="77">
                  <c:v>480855.8271936177</c:v>
                </c:pt>
                <c:pt idx="78">
                  <c:v>425677.08582883189</c:v>
                </c:pt>
                <c:pt idx="79">
                  <c:v>433908.80459207349</c:v>
                </c:pt>
                <c:pt idx="81">
                  <c:v>409763.71940802882</c:v>
                </c:pt>
                <c:pt idx="82">
                  <c:v>370931.76882695552</c:v>
                </c:pt>
                <c:pt idx="83">
                  <c:v>334984.26091097569</c:v>
                </c:pt>
                <c:pt idx="84">
                  <c:v>330121.95121184282</c:v>
                </c:pt>
                <c:pt idx="85">
                  <c:v>292231.99370823283</c:v>
                </c:pt>
                <c:pt idx="87">
                  <c:v>262566.60404723691</c:v>
                </c:pt>
                <c:pt idx="88">
                  <c:v>258330.69539382769</c:v>
                </c:pt>
                <c:pt idx="89">
                  <c:v>246648.81403992089</c:v>
                </c:pt>
                <c:pt idx="90">
                  <c:v>233317.58112288191</c:v>
                </c:pt>
                <c:pt idx="92">
                  <c:v>235893.0436333071</c:v>
                </c:pt>
                <c:pt idx="93">
                  <c:v>249239.3003705095</c:v>
                </c:pt>
                <c:pt idx="94">
                  <c:v>219474.39257675529</c:v>
                </c:pt>
                <c:pt idx="95">
                  <c:v>240271.51593860591</c:v>
                </c:pt>
                <c:pt idx="96">
                  <c:v>208518.8840065441</c:v>
                </c:pt>
                <c:pt idx="97">
                  <c:v>177161.8404621571</c:v>
                </c:pt>
                <c:pt idx="98">
                  <c:v>169573.29425460761</c:v>
                </c:pt>
                <c:pt idx="99">
                  <c:v>157921.84208913599</c:v>
                </c:pt>
                <c:pt idx="100">
                  <c:v>135339.1763229761</c:v>
                </c:pt>
                <c:pt idx="101">
                  <c:v>115096.4639872949</c:v>
                </c:pt>
                <c:pt idx="102">
                  <c:v>116481.36316004759</c:v>
                </c:pt>
                <c:pt idx="103">
                  <c:v>99691.624227774664</c:v>
                </c:pt>
                <c:pt idx="105">
                  <c:v>63123.861087134457</c:v>
                </c:pt>
                <c:pt idx="106">
                  <c:v>58397.568024416847</c:v>
                </c:pt>
                <c:pt idx="108">
                  <c:v>41334.905126804893</c:v>
                </c:pt>
                <c:pt idx="110">
                  <c:v>32156.023695872591</c:v>
                </c:pt>
                <c:pt idx="111">
                  <c:v>27751.130873696591</c:v>
                </c:pt>
                <c:pt idx="112">
                  <c:v>21688.41066629604</c:v>
                </c:pt>
                <c:pt idx="113">
                  <c:v>21403.42875831683</c:v>
                </c:pt>
                <c:pt idx="114">
                  <c:v>20650.422353564889</c:v>
                </c:pt>
                <c:pt idx="115">
                  <c:v>13272.11986245729</c:v>
                </c:pt>
                <c:pt idx="116">
                  <c:v>14326.223913534761</c:v>
                </c:pt>
                <c:pt idx="119">
                  <c:v>3862.7019722507598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15C2-4E82-8C28-C2A67473E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835312"/>
        <c:axId val="95827152"/>
      </c:scatterChart>
      <c:valAx>
        <c:axId val="9583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角度 (</a:t>
                </a: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𝜃</a:t>
                </a: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) 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827152"/>
        <c:crosses val="autoZero"/>
        <c:crossBetween val="midCat"/>
      </c:valAx>
      <c:valAx>
        <c:axId val="9582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Integration Value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835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(z=6) Integration_Result vs. Angle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Intersections!$P$25:$P$144</c:f>
              <c:numCache>
                <c:formatCode>General</c:formatCode>
                <c:ptCount val="120"/>
                <c:pt idx="0">
                  <c:v>0.3919261855777969</c:v>
                </c:pt>
                <c:pt idx="1">
                  <c:v>0.38647130435371446</c:v>
                </c:pt>
                <c:pt idx="2">
                  <c:v>0.38711523014084159</c:v>
                </c:pt>
                <c:pt idx="3">
                  <c:v>0.36630129195529149</c:v>
                </c:pt>
                <c:pt idx="4">
                  <c:v>0.37184057534863335</c:v>
                </c:pt>
                <c:pt idx="5">
                  <c:v>0.3546612558253166</c:v>
                </c:pt>
                <c:pt idx="6">
                  <c:v>0.35637796828283252</c:v>
                </c:pt>
                <c:pt idx="7">
                  <c:v>0.35389009392801962</c:v>
                </c:pt>
                <c:pt idx="8">
                  <c:v>0.34417400294195488</c:v>
                </c:pt>
                <c:pt idx="9">
                  <c:v>0.33240526169147144</c:v>
                </c:pt>
                <c:pt idx="10">
                  <c:v>0.33146085478783838</c:v>
                </c:pt>
                <c:pt idx="11">
                  <c:v>0.31805199418910113</c:v>
                </c:pt>
                <c:pt idx="12">
                  <c:v>0.31418543196112902</c:v>
                </c:pt>
                <c:pt idx="13">
                  <c:v>0.31139444419389828</c:v>
                </c:pt>
                <c:pt idx="14">
                  <c:v>0.30412998802324132</c:v>
                </c:pt>
                <c:pt idx="15">
                  <c:v>0.2988960478327134</c:v>
                </c:pt>
                <c:pt idx="16">
                  <c:v>0.29127431806100912</c:v>
                </c:pt>
                <c:pt idx="17">
                  <c:v>0.28681836861143939</c:v>
                </c:pt>
                <c:pt idx="18">
                  <c:v>0.28187773926347615</c:v>
                </c:pt>
                <c:pt idx="19">
                  <c:v>0.27338768637917421</c:v>
                </c:pt>
                <c:pt idx="20">
                  <c:v>0.26663846403451275</c:v>
                </c:pt>
                <c:pt idx="21">
                  <c:v>0.25833776722736879</c:v>
                </c:pt>
                <c:pt idx="22">
                  <c:v>0.25075405716391619</c:v>
                </c:pt>
                <c:pt idx="23">
                  <c:v>0.24236733285474799</c:v>
                </c:pt>
                <c:pt idx="24">
                  <c:v>0.23636696942885549</c:v>
                </c:pt>
                <c:pt idx="25">
                  <c:v>0.23051086228709994</c:v>
                </c:pt>
                <c:pt idx="26">
                  <c:v>0.22427100058549976</c:v>
                </c:pt>
                <c:pt idx="27">
                  <c:v>0.21753095128880151</c:v>
                </c:pt>
                <c:pt idx="28">
                  <c:v>0.2110965856389535</c:v>
                </c:pt>
                <c:pt idx="29">
                  <c:v>0.21137778109195682</c:v>
                </c:pt>
                <c:pt idx="30">
                  <c:v>0.19804581440291114</c:v>
                </c:pt>
                <c:pt idx="31">
                  <c:v>0.19330882185251208</c:v>
                </c:pt>
                <c:pt idx="32">
                  <c:v>0.18559932878464314</c:v>
                </c:pt>
                <c:pt idx="33">
                  <c:v>0.17681107098325421</c:v>
                </c:pt>
                <c:pt idx="34">
                  <c:v>0.16872990709975322</c:v>
                </c:pt>
                <c:pt idx="35">
                  <c:v>0.16469661194991492</c:v>
                </c:pt>
                <c:pt idx="36">
                  <c:v>0.15353484225663316</c:v>
                </c:pt>
                <c:pt idx="37">
                  <c:v>0.14622802047811345</c:v>
                </c:pt>
                <c:pt idx="38">
                  <c:v>0.14059867730640718</c:v>
                </c:pt>
                <c:pt idx="39">
                  <c:v>0.13117826405569866</c:v>
                </c:pt>
                <c:pt idx="40">
                  <c:v>0.12617067288764461</c:v>
                </c:pt>
                <c:pt idx="41">
                  <c:v>0.1174043976756296</c:v>
                </c:pt>
                <c:pt idx="42">
                  <c:v>0.11032905183741937</c:v>
                </c:pt>
                <c:pt idx="43">
                  <c:v>0.10332241057073777</c:v>
                </c:pt>
                <c:pt idx="44">
                  <c:v>9.5632539742997125E-2</c:v>
                </c:pt>
                <c:pt idx="45">
                  <c:v>9.081370507436537E-2</c:v>
                </c:pt>
                <c:pt idx="46">
                  <c:v>8.4972040590125975E-2</c:v>
                </c:pt>
                <c:pt idx="47">
                  <c:v>7.9232390530960206E-2</c:v>
                </c:pt>
                <c:pt idx="48">
                  <c:v>7.2410685890293314E-2</c:v>
                </c:pt>
                <c:pt idx="49">
                  <c:v>6.761271778151734E-2</c:v>
                </c:pt>
                <c:pt idx="50">
                  <c:v>6.03645624632283E-2</c:v>
                </c:pt>
                <c:pt idx="51">
                  <c:v>5.1736013316550755E-2</c:v>
                </c:pt>
                <c:pt idx="52">
                  <c:v>4.6756191020755233E-2</c:v>
                </c:pt>
                <c:pt idx="53">
                  <c:v>4.0891056538197468E-2</c:v>
                </c:pt>
                <c:pt idx="54">
                  <c:v>3.3690078500787424E-2</c:v>
                </c:pt>
                <c:pt idx="55">
                  <c:v>2.7156083897222683E-2</c:v>
                </c:pt>
                <c:pt idx="56">
                  <c:v>1.9577781674921857E-2</c:v>
                </c:pt>
                <c:pt idx="57">
                  <c:v>1.3070360564497507E-2</c:v>
                </c:pt>
                <c:pt idx="58">
                  <c:v>7.8073999187961984E-3</c:v>
                </c:pt>
                <c:pt idx="59">
                  <c:v>3.0013658446705893E-3</c:v>
                </c:pt>
                <c:pt idx="60">
                  <c:v>0</c:v>
                </c:pt>
                <c:pt idx="61">
                  <c:v>-3.0894159094763447</c:v>
                </c:pt>
                <c:pt idx="62">
                  <c:v>-2.5727506558224755E-2</c:v>
                </c:pt>
                <c:pt idx="63">
                  <c:v>-2.4293884555948386E-2</c:v>
                </c:pt>
                <c:pt idx="64">
                  <c:v>-2.9172591567834472E-2</c:v>
                </c:pt>
                <c:pt idx="65">
                  <c:v>-3.4960508212720454E-2</c:v>
                </c:pt>
                <c:pt idx="66">
                  <c:v>-4.1058124035442178E-2</c:v>
                </c:pt>
                <c:pt idx="67">
                  <c:v>-4.7497063103036918E-2</c:v>
                </c:pt>
                <c:pt idx="68">
                  <c:v>-5.4791036445474894E-2</c:v>
                </c:pt>
                <c:pt idx="69">
                  <c:v>-6.3647306864204278E-2</c:v>
                </c:pt>
                <c:pt idx="70">
                  <c:v>-7.079579008625525E-2</c:v>
                </c:pt>
                <c:pt idx="71">
                  <c:v>-7.7874596255628648E-2</c:v>
                </c:pt>
                <c:pt idx="72">
                  <c:v>-8.3442658798002389E-2</c:v>
                </c:pt>
                <c:pt idx="73">
                  <c:v>-8.874556275455836E-2</c:v>
                </c:pt>
                <c:pt idx="74">
                  <c:v>-9.6129159316409307E-2</c:v>
                </c:pt>
                <c:pt idx="75">
                  <c:v>-0.10229127199776622</c:v>
                </c:pt>
                <c:pt idx="76">
                  <c:v>-0.1073724655442887</c:v>
                </c:pt>
                <c:pt idx="77">
                  <c:v>-0.11711925012946223</c:v>
                </c:pt>
                <c:pt idx="78">
                  <c:v>-0.12441447366076397</c:v>
                </c:pt>
                <c:pt idx="79">
                  <c:v>-0.13207226508175074</c:v>
                </c:pt>
                <c:pt idx="80">
                  <c:v>-0.13939932036173253</c:v>
                </c:pt>
                <c:pt idx="81">
                  <c:v>-0.14731614595350617</c:v>
                </c:pt>
                <c:pt idx="82">
                  <c:v>-0.15357091571806936</c:v>
                </c:pt>
                <c:pt idx="83">
                  <c:v>-0.15942380940187539</c:v>
                </c:pt>
                <c:pt idx="84">
                  <c:v>-0.16807069588115797</c:v>
                </c:pt>
                <c:pt idx="85">
                  <c:v>-0.1739154122197113</c:v>
                </c:pt>
                <c:pt idx="86">
                  <c:v>-0.1824487104727317</c:v>
                </c:pt>
                <c:pt idx="87">
                  <c:v>-0.1850097345433217</c:v>
                </c:pt>
                <c:pt idx="88">
                  <c:v>-0.19229420193507041</c:v>
                </c:pt>
                <c:pt idx="89">
                  <c:v>-0.20128133020072214</c:v>
                </c:pt>
                <c:pt idx="90">
                  <c:v>-0.20765701137148196</c:v>
                </c:pt>
                <c:pt idx="91">
                  <c:v>-0.2142751816411923</c:v>
                </c:pt>
                <c:pt idx="92">
                  <c:v>-0.2217652776740977</c:v>
                </c:pt>
                <c:pt idx="93">
                  <c:v>-0.2284707477287331</c:v>
                </c:pt>
                <c:pt idx="94">
                  <c:v>-0.24098736582955071</c:v>
                </c:pt>
                <c:pt idx="95">
                  <c:v>-0.24911855693675045</c:v>
                </c:pt>
                <c:pt idx="96">
                  <c:v>-0.25687043436837431</c:v>
                </c:pt>
                <c:pt idx="97">
                  <c:v>-0.26823092844717067</c:v>
                </c:pt>
                <c:pt idx="98">
                  <c:v>-0.27448529758475027</c:v>
                </c:pt>
                <c:pt idx="99">
                  <c:v>-0.28362414548163906</c:v>
                </c:pt>
                <c:pt idx="100">
                  <c:v>-0.29216589929608205</c:v>
                </c:pt>
                <c:pt idx="101">
                  <c:v>-0.29765108301611343</c:v>
                </c:pt>
                <c:pt idx="102">
                  <c:v>-0.30873828581373552</c:v>
                </c:pt>
                <c:pt idx="103">
                  <c:v>-0.31564155446742204</c:v>
                </c:pt>
                <c:pt idx="104">
                  <c:v>-0.3221999490417784</c:v>
                </c:pt>
                <c:pt idx="105">
                  <c:v>-0.32567225737898986</c:v>
                </c:pt>
                <c:pt idx="106">
                  <c:v>-0.33828295290056376</c:v>
                </c:pt>
                <c:pt idx="107">
                  <c:v>-0.34721379738771496</c:v>
                </c:pt>
                <c:pt idx="108">
                  <c:v>-0.35033682351830309</c:v>
                </c:pt>
                <c:pt idx="109">
                  <c:v>-0.36189235582567059</c:v>
                </c:pt>
                <c:pt idx="110">
                  <c:v>-0.37436206461141985</c:v>
                </c:pt>
                <c:pt idx="111">
                  <c:v>-0.38404525256570343</c:v>
                </c:pt>
                <c:pt idx="112">
                  <c:v>-0.39175610198077049</c:v>
                </c:pt>
                <c:pt idx="113">
                  <c:v>-0.38783124084797893</c:v>
                </c:pt>
                <c:pt idx="114">
                  <c:v>-0.42001685298511315</c:v>
                </c:pt>
                <c:pt idx="115">
                  <c:v>-0.4192038016599009</c:v>
                </c:pt>
                <c:pt idx="116">
                  <c:v>-0.39668304121538545</c:v>
                </c:pt>
                <c:pt idx="117">
                  <c:v>-0.43874920078792856</c:v>
                </c:pt>
                <c:pt idx="118">
                  <c:v>-0.42764106087510201</c:v>
                </c:pt>
                <c:pt idx="119">
                  <c:v>-0.44667268220316414</c:v>
                </c:pt>
              </c:numCache>
            </c:numRef>
          </c:xVal>
          <c:yVal>
            <c:numRef>
              <c:f>Intersections!$AK$25:$AK$144</c:f>
              <c:numCache>
                <c:formatCode>General</c:formatCode>
                <c:ptCount val="120"/>
                <c:pt idx="0">
                  <c:v>17639.14417668743</c:v>
                </c:pt>
                <c:pt idx="1">
                  <c:v>30701.20477169086</c:v>
                </c:pt>
                <c:pt idx="2">
                  <c:v>27475.187670675459</c:v>
                </c:pt>
                <c:pt idx="3">
                  <c:v>40564.629764596553</c:v>
                </c:pt>
                <c:pt idx="4">
                  <c:v>54945.142734378751</c:v>
                </c:pt>
                <c:pt idx="5">
                  <c:v>104738.0165328335</c:v>
                </c:pt>
                <c:pt idx="6">
                  <c:v>97228.786899489802</c:v>
                </c:pt>
                <c:pt idx="7">
                  <c:v>125760.1593735179</c:v>
                </c:pt>
                <c:pt idx="8">
                  <c:v>135811.8646124572</c:v>
                </c:pt>
                <c:pt idx="9">
                  <c:v>168323.89225293981</c:v>
                </c:pt>
                <c:pt idx="10">
                  <c:v>187205.0637990915</c:v>
                </c:pt>
                <c:pt idx="11">
                  <c:v>175686.45637606861</c:v>
                </c:pt>
                <c:pt idx="12">
                  <c:v>227075.58218543191</c:v>
                </c:pt>
                <c:pt idx="13">
                  <c:v>322505.25090570212</c:v>
                </c:pt>
                <c:pt idx="14">
                  <c:v>365915.63644722977</c:v>
                </c:pt>
                <c:pt idx="15">
                  <c:v>447363.29515247431</c:v>
                </c:pt>
                <c:pt idx="16">
                  <c:v>522101.29179480771</c:v>
                </c:pt>
                <c:pt idx="17">
                  <c:v>570611.66426883754</c:v>
                </c:pt>
                <c:pt idx="18">
                  <c:v>601298.94807274791</c:v>
                </c:pt>
                <c:pt idx="19">
                  <c:v>660216.05136711453</c:v>
                </c:pt>
                <c:pt idx="20">
                  <c:v>795368.15599580947</c:v>
                </c:pt>
                <c:pt idx="21">
                  <c:v>832287.2465019814</c:v>
                </c:pt>
                <c:pt idx="22">
                  <c:v>908002.65813886316</c:v>
                </c:pt>
                <c:pt idx="23">
                  <c:v>976318.0125828156</c:v>
                </c:pt>
                <c:pt idx="24">
                  <c:v>1040870.353062883</c:v>
                </c:pt>
                <c:pt idx="25">
                  <c:v>1131072.900369297</c:v>
                </c:pt>
                <c:pt idx="27">
                  <c:v>1297668.4415627469</c:v>
                </c:pt>
                <c:pt idx="28">
                  <c:v>1347666.8892595039</c:v>
                </c:pt>
                <c:pt idx="29">
                  <c:v>1372177.0203389919</c:v>
                </c:pt>
                <c:pt idx="30">
                  <c:v>1329465.2816478731</c:v>
                </c:pt>
                <c:pt idx="31">
                  <c:v>1393708.130053438</c:v>
                </c:pt>
                <c:pt idx="32">
                  <c:v>1407036.4120854731</c:v>
                </c:pt>
                <c:pt idx="33">
                  <c:v>1438087.9191701291</c:v>
                </c:pt>
                <c:pt idx="34">
                  <c:v>1492070.755753679</c:v>
                </c:pt>
                <c:pt idx="35">
                  <c:v>1615650.005000239</c:v>
                </c:pt>
                <c:pt idx="36">
                  <c:v>1622107.661191202</c:v>
                </c:pt>
                <c:pt idx="39">
                  <c:v>1754203.9476148491</c:v>
                </c:pt>
                <c:pt idx="40">
                  <c:v>1712318.440730677</c:v>
                </c:pt>
                <c:pt idx="41">
                  <c:v>1595657.747198354</c:v>
                </c:pt>
                <c:pt idx="43">
                  <c:v>1722331.0751494409</c:v>
                </c:pt>
                <c:pt idx="44">
                  <c:v>1718528.8695450069</c:v>
                </c:pt>
                <c:pt idx="45">
                  <c:v>1695329.383930773</c:v>
                </c:pt>
                <c:pt idx="46">
                  <c:v>1691766.9636529221</c:v>
                </c:pt>
                <c:pt idx="47">
                  <c:v>1542891.797463316</c:v>
                </c:pt>
                <c:pt idx="48">
                  <c:v>1577122.3844608469</c:v>
                </c:pt>
                <c:pt idx="49">
                  <c:v>1494543.5122784949</c:v>
                </c:pt>
                <c:pt idx="50">
                  <c:v>1434217.3950032149</c:v>
                </c:pt>
                <c:pt idx="51">
                  <c:v>1432648.141221629</c:v>
                </c:pt>
                <c:pt idx="53">
                  <c:v>1553400.5113059529</c:v>
                </c:pt>
                <c:pt idx="55">
                  <c:v>1420725.7745018171</c:v>
                </c:pt>
                <c:pt idx="56">
                  <c:v>1450098.0602326221</c:v>
                </c:pt>
                <c:pt idx="58">
                  <c:v>1388547.794088844</c:v>
                </c:pt>
                <c:pt idx="59">
                  <c:v>1335499.658806832</c:v>
                </c:pt>
                <c:pt idx="60">
                  <c:v>1254090.229394237</c:v>
                </c:pt>
                <c:pt idx="61">
                  <c:v>1264554.1856035111</c:v>
                </c:pt>
                <c:pt idx="62">
                  <c:v>1192175.667964115</c:v>
                </c:pt>
                <c:pt idx="63">
                  <c:v>1124719.4649942219</c:v>
                </c:pt>
                <c:pt idx="64">
                  <c:v>1135157.823863134</c:v>
                </c:pt>
                <c:pt idx="65">
                  <c:v>1060243.089405715</c:v>
                </c:pt>
                <c:pt idx="66">
                  <c:v>1021941.529952555</c:v>
                </c:pt>
                <c:pt idx="67">
                  <c:v>1014656.7140177781</c:v>
                </c:pt>
                <c:pt idx="68">
                  <c:v>1023037.46506086</c:v>
                </c:pt>
                <c:pt idx="69">
                  <c:v>969631.63418313686</c:v>
                </c:pt>
                <c:pt idx="72">
                  <c:v>907806.03892314143</c:v>
                </c:pt>
                <c:pt idx="73">
                  <c:v>897521.19276285451</c:v>
                </c:pt>
                <c:pt idx="75">
                  <c:v>819282.9984516002</c:v>
                </c:pt>
                <c:pt idx="76">
                  <c:v>771939.64664505643</c:v>
                </c:pt>
                <c:pt idx="77">
                  <c:v>738945.94589787128</c:v>
                </c:pt>
                <c:pt idx="78">
                  <c:v>702774.18849035027</c:v>
                </c:pt>
                <c:pt idx="82">
                  <c:v>545096.53294845531</c:v>
                </c:pt>
                <c:pt idx="83">
                  <c:v>510916.57849503221</c:v>
                </c:pt>
                <c:pt idx="84">
                  <c:v>490531.58504170261</c:v>
                </c:pt>
                <c:pt idx="85">
                  <c:v>444307.10655588098</c:v>
                </c:pt>
                <c:pt idx="87">
                  <c:v>403095.92725415883</c:v>
                </c:pt>
                <c:pt idx="89">
                  <c:v>357734.90589168662</c:v>
                </c:pt>
                <c:pt idx="90">
                  <c:v>334108.96828749182</c:v>
                </c:pt>
                <c:pt idx="93">
                  <c:v>254427.52319148969</c:v>
                </c:pt>
                <c:pt idx="94">
                  <c:v>280819.02788224688</c:v>
                </c:pt>
                <c:pt idx="95">
                  <c:v>245457.3991164311</c:v>
                </c:pt>
                <c:pt idx="97">
                  <c:v>228498.3875956173</c:v>
                </c:pt>
                <c:pt idx="98">
                  <c:v>191850.74215581009</c:v>
                </c:pt>
                <c:pt idx="100">
                  <c:v>167755.09505955319</c:v>
                </c:pt>
                <c:pt idx="101">
                  <c:v>151535.20438738129</c:v>
                </c:pt>
                <c:pt idx="102">
                  <c:v>120786.8966409362</c:v>
                </c:pt>
                <c:pt idx="103">
                  <c:v>128247.1566583707</c:v>
                </c:pt>
                <c:pt idx="104">
                  <c:v>106587.1701942646</c:v>
                </c:pt>
                <c:pt idx="105">
                  <c:v>102489.6368131866</c:v>
                </c:pt>
                <c:pt idx="106">
                  <c:v>88776.061676043828</c:v>
                </c:pt>
                <c:pt idx="110">
                  <c:v>37632.443996418573</c:v>
                </c:pt>
                <c:pt idx="111">
                  <c:v>32588.458510285829</c:v>
                </c:pt>
                <c:pt idx="112">
                  <c:v>38230.099486041443</c:v>
                </c:pt>
                <c:pt idx="113">
                  <c:v>24126.909741862699</c:v>
                </c:pt>
                <c:pt idx="115">
                  <c:v>11973.378674121621</c:v>
                </c:pt>
                <c:pt idx="116">
                  <c:v>13628.489394986451</c:v>
                </c:pt>
                <c:pt idx="117">
                  <c:v>10448.457024408341</c:v>
                </c:pt>
                <c:pt idx="118">
                  <c:v>3233.8454473218371</c:v>
                </c:pt>
                <c:pt idx="119">
                  <c:v>2768.038586730419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ECEB-487C-8448-ED2494109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7599344"/>
        <c:axId val="267594064"/>
      </c:scatterChart>
      <c:valAx>
        <c:axId val="26759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角度 (</a:t>
                </a: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𝜃</a:t>
                </a:r>
                <a:r>
                  <a:rPr lang="zh-CN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) 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67594064"/>
        <c:crosses val="autoZero"/>
        <c:crossBetween val="midCat"/>
      </c:valAx>
      <c:valAx>
        <c:axId val="26759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Integration Value</a:t>
                </a:r>
                <a:endParaRPr lang="zh-TW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67599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Intersections!$R$25:$R$144</c:f>
              <c:numCache>
                <c:formatCode>General</c:formatCode>
                <c:ptCount val="120"/>
                <c:pt idx="0">
                  <c:v>-1.5</c:v>
                </c:pt>
                <c:pt idx="1">
                  <c:v>-1.4750000000000001</c:v>
                </c:pt>
                <c:pt idx="2">
                  <c:v>-1.45</c:v>
                </c:pt>
                <c:pt idx="3">
                  <c:v>-1.425</c:v>
                </c:pt>
                <c:pt idx="4">
                  <c:v>-1.4</c:v>
                </c:pt>
                <c:pt idx="5">
                  <c:v>-1.375</c:v>
                </c:pt>
                <c:pt idx="6">
                  <c:v>-1.35</c:v>
                </c:pt>
                <c:pt idx="7">
                  <c:v>-1.325</c:v>
                </c:pt>
                <c:pt idx="8">
                  <c:v>-1.3</c:v>
                </c:pt>
                <c:pt idx="9">
                  <c:v>-1.2749999999999999</c:v>
                </c:pt>
                <c:pt idx="10">
                  <c:v>-1.25</c:v>
                </c:pt>
                <c:pt idx="11">
                  <c:v>-1.2250000000000001</c:v>
                </c:pt>
                <c:pt idx="12">
                  <c:v>-1.2</c:v>
                </c:pt>
                <c:pt idx="13">
                  <c:v>-1.175</c:v>
                </c:pt>
                <c:pt idx="14">
                  <c:v>-1.1499999999999999</c:v>
                </c:pt>
                <c:pt idx="15">
                  <c:v>-1.125</c:v>
                </c:pt>
                <c:pt idx="16">
                  <c:v>-1.1000000000000001</c:v>
                </c:pt>
                <c:pt idx="17">
                  <c:v>-1.075</c:v>
                </c:pt>
                <c:pt idx="18">
                  <c:v>-1.05</c:v>
                </c:pt>
                <c:pt idx="19">
                  <c:v>-1.0249999999999999</c:v>
                </c:pt>
                <c:pt idx="20">
                  <c:v>-1</c:v>
                </c:pt>
                <c:pt idx="21">
                  <c:v>-0.97499999999999998</c:v>
                </c:pt>
                <c:pt idx="22">
                  <c:v>-0.95</c:v>
                </c:pt>
                <c:pt idx="23">
                  <c:v>-0.92500000000000004</c:v>
                </c:pt>
                <c:pt idx="24">
                  <c:v>-0.9</c:v>
                </c:pt>
                <c:pt idx="25">
                  <c:v>-0.875</c:v>
                </c:pt>
                <c:pt idx="26">
                  <c:v>-0.85</c:v>
                </c:pt>
                <c:pt idx="27">
                  <c:v>-0.82499999999999996</c:v>
                </c:pt>
                <c:pt idx="28">
                  <c:v>-0.8</c:v>
                </c:pt>
                <c:pt idx="29">
                  <c:v>-0.77500000000000002</c:v>
                </c:pt>
                <c:pt idx="30">
                  <c:v>-0.75</c:v>
                </c:pt>
                <c:pt idx="31">
                  <c:v>-0.72499999999999998</c:v>
                </c:pt>
                <c:pt idx="32">
                  <c:v>-0.7</c:v>
                </c:pt>
                <c:pt idx="33">
                  <c:v>-0.67500000000000004</c:v>
                </c:pt>
                <c:pt idx="34">
                  <c:v>-0.65</c:v>
                </c:pt>
                <c:pt idx="35">
                  <c:v>-0.625</c:v>
                </c:pt>
                <c:pt idx="36">
                  <c:v>-0.6</c:v>
                </c:pt>
                <c:pt idx="37">
                  <c:v>-0.57499999999999996</c:v>
                </c:pt>
                <c:pt idx="38">
                  <c:v>-0.55000000000000004</c:v>
                </c:pt>
                <c:pt idx="39">
                  <c:v>-0.52500000000000002</c:v>
                </c:pt>
                <c:pt idx="40">
                  <c:v>-0.5</c:v>
                </c:pt>
                <c:pt idx="41">
                  <c:v>-0.47499999999999998</c:v>
                </c:pt>
                <c:pt idx="42">
                  <c:v>-0.45</c:v>
                </c:pt>
                <c:pt idx="43">
                  <c:v>-0.42499999999999999</c:v>
                </c:pt>
                <c:pt idx="44">
                  <c:v>-0.4</c:v>
                </c:pt>
                <c:pt idx="45">
                  <c:v>-0.375</c:v>
                </c:pt>
                <c:pt idx="46">
                  <c:v>-0.35</c:v>
                </c:pt>
                <c:pt idx="47">
                  <c:v>-0.32500000000000001</c:v>
                </c:pt>
                <c:pt idx="48">
                  <c:v>-0.3</c:v>
                </c:pt>
                <c:pt idx="49">
                  <c:v>-0.27500000000000002</c:v>
                </c:pt>
                <c:pt idx="50">
                  <c:v>-0.25</c:v>
                </c:pt>
                <c:pt idx="51">
                  <c:v>-0.22500000000000001</c:v>
                </c:pt>
                <c:pt idx="52">
                  <c:v>-0.2</c:v>
                </c:pt>
                <c:pt idx="53">
                  <c:v>-0.17499999999999999</c:v>
                </c:pt>
                <c:pt idx="54">
                  <c:v>-0.15</c:v>
                </c:pt>
                <c:pt idx="55">
                  <c:v>-0.125</c:v>
                </c:pt>
                <c:pt idx="56">
                  <c:v>-0.1</c:v>
                </c:pt>
                <c:pt idx="57">
                  <c:v>-7.4999999999999997E-2</c:v>
                </c:pt>
                <c:pt idx="58">
                  <c:v>-0.05</c:v>
                </c:pt>
                <c:pt idx="59">
                  <c:v>-2.5000000000000001E-2</c:v>
                </c:pt>
                <c:pt idx="60">
                  <c:v>0</c:v>
                </c:pt>
                <c:pt idx="61">
                  <c:v>2.5000000000000001E-2</c:v>
                </c:pt>
                <c:pt idx="62">
                  <c:v>0.05</c:v>
                </c:pt>
                <c:pt idx="63">
                  <c:v>7.4999999999999997E-2</c:v>
                </c:pt>
                <c:pt idx="64">
                  <c:v>0.1</c:v>
                </c:pt>
                <c:pt idx="65">
                  <c:v>0.125</c:v>
                </c:pt>
                <c:pt idx="66">
                  <c:v>0.15</c:v>
                </c:pt>
                <c:pt idx="67">
                  <c:v>0.17499999999999999</c:v>
                </c:pt>
                <c:pt idx="68">
                  <c:v>0.2</c:v>
                </c:pt>
                <c:pt idx="69">
                  <c:v>0.22500000000000001</c:v>
                </c:pt>
                <c:pt idx="70">
                  <c:v>0.25</c:v>
                </c:pt>
                <c:pt idx="71">
                  <c:v>0.27500000000000002</c:v>
                </c:pt>
                <c:pt idx="72">
                  <c:v>0.3</c:v>
                </c:pt>
                <c:pt idx="73">
                  <c:v>0.32500000000000001</c:v>
                </c:pt>
                <c:pt idx="74">
                  <c:v>0.35</c:v>
                </c:pt>
                <c:pt idx="75">
                  <c:v>0.375</c:v>
                </c:pt>
                <c:pt idx="76">
                  <c:v>0.4</c:v>
                </c:pt>
                <c:pt idx="77">
                  <c:v>0.42499999999999999</c:v>
                </c:pt>
                <c:pt idx="78">
                  <c:v>0.45</c:v>
                </c:pt>
                <c:pt idx="79">
                  <c:v>0.47499999999999998</c:v>
                </c:pt>
                <c:pt idx="80">
                  <c:v>0.5</c:v>
                </c:pt>
                <c:pt idx="81">
                  <c:v>0.52500000000000002</c:v>
                </c:pt>
                <c:pt idx="82">
                  <c:v>0.55000000000000004</c:v>
                </c:pt>
                <c:pt idx="83">
                  <c:v>0.57499999999999996</c:v>
                </c:pt>
                <c:pt idx="84">
                  <c:v>0.6</c:v>
                </c:pt>
                <c:pt idx="85">
                  <c:v>0.625</c:v>
                </c:pt>
                <c:pt idx="86">
                  <c:v>0.65</c:v>
                </c:pt>
                <c:pt idx="87">
                  <c:v>0.67500000000000004</c:v>
                </c:pt>
                <c:pt idx="88">
                  <c:v>0.7</c:v>
                </c:pt>
                <c:pt idx="89">
                  <c:v>0.72499999999999998</c:v>
                </c:pt>
                <c:pt idx="90">
                  <c:v>0.75</c:v>
                </c:pt>
                <c:pt idx="91">
                  <c:v>0.77500000000000002</c:v>
                </c:pt>
                <c:pt idx="92">
                  <c:v>0.8</c:v>
                </c:pt>
                <c:pt idx="93">
                  <c:v>0.82499999999999996</c:v>
                </c:pt>
                <c:pt idx="94">
                  <c:v>0.85</c:v>
                </c:pt>
                <c:pt idx="95">
                  <c:v>0.875</c:v>
                </c:pt>
                <c:pt idx="96">
                  <c:v>0.9</c:v>
                </c:pt>
                <c:pt idx="97">
                  <c:v>0.92500000000000004</c:v>
                </c:pt>
                <c:pt idx="98">
                  <c:v>0.95</c:v>
                </c:pt>
                <c:pt idx="99">
                  <c:v>0.97499999999999998</c:v>
                </c:pt>
                <c:pt idx="100">
                  <c:v>1</c:v>
                </c:pt>
                <c:pt idx="101">
                  <c:v>1.0249999999999999</c:v>
                </c:pt>
                <c:pt idx="102">
                  <c:v>1.05</c:v>
                </c:pt>
                <c:pt idx="103">
                  <c:v>1.075</c:v>
                </c:pt>
                <c:pt idx="104">
                  <c:v>1.1000000000000001</c:v>
                </c:pt>
                <c:pt idx="105">
                  <c:v>1.125</c:v>
                </c:pt>
                <c:pt idx="106">
                  <c:v>1.1499999999999999</c:v>
                </c:pt>
                <c:pt idx="107">
                  <c:v>1.175</c:v>
                </c:pt>
                <c:pt idx="108">
                  <c:v>1.2</c:v>
                </c:pt>
                <c:pt idx="109">
                  <c:v>1.2250000000000001</c:v>
                </c:pt>
                <c:pt idx="110">
                  <c:v>1.25</c:v>
                </c:pt>
                <c:pt idx="111">
                  <c:v>1.2749999999999999</c:v>
                </c:pt>
                <c:pt idx="112">
                  <c:v>1.3</c:v>
                </c:pt>
                <c:pt idx="113">
                  <c:v>1.325</c:v>
                </c:pt>
                <c:pt idx="114">
                  <c:v>1.35</c:v>
                </c:pt>
                <c:pt idx="115">
                  <c:v>1.375</c:v>
                </c:pt>
                <c:pt idx="116">
                  <c:v>1.4</c:v>
                </c:pt>
                <c:pt idx="117">
                  <c:v>1.425</c:v>
                </c:pt>
                <c:pt idx="118">
                  <c:v>1.45</c:v>
                </c:pt>
                <c:pt idx="119">
                  <c:v>1.4750000000000001</c:v>
                </c:pt>
              </c:numCache>
            </c:numRef>
          </c:xVal>
          <c:yVal>
            <c:numRef>
              <c:f>Intersections!$P$25:$P$144</c:f>
              <c:numCache>
                <c:formatCode>General</c:formatCode>
                <c:ptCount val="120"/>
                <c:pt idx="0">
                  <c:v>0.3919261855777969</c:v>
                </c:pt>
                <c:pt idx="1">
                  <c:v>0.38647130435371446</c:v>
                </c:pt>
                <c:pt idx="2">
                  <c:v>0.38711523014084159</c:v>
                </c:pt>
                <c:pt idx="3">
                  <c:v>0.36630129195529149</c:v>
                </c:pt>
                <c:pt idx="4">
                  <c:v>0.37184057534863335</c:v>
                </c:pt>
                <c:pt idx="5">
                  <c:v>0.3546612558253166</c:v>
                </c:pt>
                <c:pt idx="6">
                  <c:v>0.35637796828283252</c:v>
                </c:pt>
                <c:pt idx="7">
                  <c:v>0.35389009392801962</c:v>
                </c:pt>
                <c:pt idx="8">
                  <c:v>0.34417400294195488</c:v>
                </c:pt>
                <c:pt idx="9">
                  <c:v>0.33240526169147144</c:v>
                </c:pt>
                <c:pt idx="10">
                  <c:v>0.33146085478783838</c:v>
                </c:pt>
                <c:pt idx="11">
                  <c:v>0.31805199418910113</c:v>
                </c:pt>
                <c:pt idx="12">
                  <c:v>0.31418543196112902</c:v>
                </c:pt>
                <c:pt idx="13">
                  <c:v>0.31139444419389828</c:v>
                </c:pt>
                <c:pt idx="14">
                  <c:v>0.30412998802324132</c:v>
                </c:pt>
                <c:pt idx="15">
                  <c:v>0.2988960478327134</c:v>
                </c:pt>
                <c:pt idx="16">
                  <c:v>0.29127431806100912</c:v>
                </c:pt>
                <c:pt idx="17">
                  <c:v>0.28681836861143939</c:v>
                </c:pt>
                <c:pt idx="18">
                  <c:v>0.28187773926347615</c:v>
                </c:pt>
                <c:pt idx="19">
                  <c:v>0.27338768637917421</c:v>
                </c:pt>
                <c:pt idx="20">
                  <c:v>0.26663846403451275</c:v>
                </c:pt>
                <c:pt idx="21">
                  <c:v>0.25833776722736879</c:v>
                </c:pt>
                <c:pt idx="22">
                  <c:v>0.25075405716391619</c:v>
                </c:pt>
                <c:pt idx="23">
                  <c:v>0.24236733285474799</c:v>
                </c:pt>
                <c:pt idx="24">
                  <c:v>0.23636696942885549</c:v>
                </c:pt>
                <c:pt idx="25">
                  <c:v>0.23051086228709994</c:v>
                </c:pt>
                <c:pt idx="26">
                  <c:v>0.22427100058549976</c:v>
                </c:pt>
                <c:pt idx="27">
                  <c:v>0.21753095128880151</c:v>
                </c:pt>
                <c:pt idx="28">
                  <c:v>0.2110965856389535</c:v>
                </c:pt>
                <c:pt idx="29">
                  <c:v>0.21137778109195682</c:v>
                </c:pt>
                <c:pt idx="30">
                  <c:v>0.19804581440291114</c:v>
                </c:pt>
                <c:pt idx="31">
                  <c:v>0.19330882185251208</c:v>
                </c:pt>
                <c:pt idx="32">
                  <c:v>0.18559932878464314</c:v>
                </c:pt>
                <c:pt idx="33">
                  <c:v>0.17681107098325421</c:v>
                </c:pt>
                <c:pt idx="34">
                  <c:v>0.16872990709975322</c:v>
                </c:pt>
                <c:pt idx="35">
                  <c:v>0.16469661194991492</c:v>
                </c:pt>
                <c:pt idx="36">
                  <c:v>0.15353484225663316</c:v>
                </c:pt>
                <c:pt idx="37">
                  <c:v>0.14622802047811345</c:v>
                </c:pt>
                <c:pt idx="38">
                  <c:v>0.14059867730640718</c:v>
                </c:pt>
                <c:pt idx="39">
                  <c:v>0.13117826405569866</c:v>
                </c:pt>
                <c:pt idx="40">
                  <c:v>0.12617067288764461</c:v>
                </c:pt>
                <c:pt idx="41">
                  <c:v>0.1174043976756296</c:v>
                </c:pt>
                <c:pt idx="42">
                  <c:v>0.11032905183741937</c:v>
                </c:pt>
                <c:pt idx="43">
                  <c:v>0.10332241057073777</c:v>
                </c:pt>
                <c:pt idx="44">
                  <c:v>9.5632539742997125E-2</c:v>
                </c:pt>
                <c:pt idx="45">
                  <c:v>9.081370507436537E-2</c:v>
                </c:pt>
                <c:pt idx="46">
                  <c:v>8.4972040590125975E-2</c:v>
                </c:pt>
                <c:pt idx="47">
                  <c:v>7.9232390530960206E-2</c:v>
                </c:pt>
                <c:pt idx="48">
                  <c:v>7.2410685890293314E-2</c:v>
                </c:pt>
                <c:pt idx="49">
                  <c:v>6.761271778151734E-2</c:v>
                </c:pt>
                <c:pt idx="50">
                  <c:v>6.03645624632283E-2</c:v>
                </c:pt>
                <c:pt idx="51">
                  <c:v>5.1736013316550755E-2</c:v>
                </c:pt>
                <c:pt idx="52">
                  <c:v>4.6756191020755233E-2</c:v>
                </c:pt>
                <c:pt idx="53">
                  <c:v>4.0891056538197468E-2</c:v>
                </c:pt>
                <c:pt idx="54">
                  <c:v>3.3690078500787424E-2</c:v>
                </c:pt>
                <c:pt idx="55">
                  <c:v>2.7156083897222683E-2</c:v>
                </c:pt>
                <c:pt idx="56">
                  <c:v>1.9577781674921857E-2</c:v>
                </c:pt>
                <c:pt idx="57">
                  <c:v>1.3070360564497507E-2</c:v>
                </c:pt>
                <c:pt idx="58">
                  <c:v>7.8073999187961984E-3</c:v>
                </c:pt>
                <c:pt idx="59">
                  <c:v>3.0013658446705893E-3</c:v>
                </c:pt>
                <c:pt idx="60">
                  <c:v>0</c:v>
                </c:pt>
                <c:pt idx="61">
                  <c:v>-3.0894159094763447</c:v>
                </c:pt>
                <c:pt idx="62">
                  <c:v>-2.5727506558224755E-2</c:v>
                </c:pt>
                <c:pt idx="63">
                  <c:v>-2.4293884555948386E-2</c:v>
                </c:pt>
                <c:pt idx="64">
                  <c:v>-2.9172591567834472E-2</c:v>
                </c:pt>
                <c:pt idx="65">
                  <c:v>-3.4960508212720454E-2</c:v>
                </c:pt>
                <c:pt idx="66">
                  <c:v>-4.1058124035442178E-2</c:v>
                </c:pt>
                <c:pt idx="67">
                  <c:v>-4.7497063103036918E-2</c:v>
                </c:pt>
                <c:pt idx="68">
                  <c:v>-5.4791036445474894E-2</c:v>
                </c:pt>
                <c:pt idx="69">
                  <c:v>-6.3647306864204278E-2</c:v>
                </c:pt>
                <c:pt idx="70">
                  <c:v>-7.079579008625525E-2</c:v>
                </c:pt>
                <c:pt idx="71">
                  <c:v>-7.7874596255628648E-2</c:v>
                </c:pt>
                <c:pt idx="72">
                  <c:v>-8.3442658798002389E-2</c:v>
                </c:pt>
                <c:pt idx="73">
                  <c:v>-8.874556275455836E-2</c:v>
                </c:pt>
                <c:pt idx="74">
                  <c:v>-9.6129159316409307E-2</c:v>
                </c:pt>
                <c:pt idx="75">
                  <c:v>-0.10229127199776622</c:v>
                </c:pt>
                <c:pt idx="76">
                  <c:v>-0.1073724655442887</c:v>
                </c:pt>
                <c:pt idx="77">
                  <c:v>-0.11711925012946223</c:v>
                </c:pt>
                <c:pt idx="78">
                  <c:v>-0.12441447366076397</c:v>
                </c:pt>
                <c:pt idx="79">
                  <c:v>-0.13207226508175074</c:v>
                </c:pt>
                <c:pt idx="80">
                  <c:v>-0.13939932036173253</c:v>
                </c:pt>
                <c:pt idx="81">
                  <c:v>-0.14731614595350617</c:v>
                </c:pt>
                <c:pt idx="82">
                  <c:v>-0.15357091571806936</c:v>
                </c:pt>
                <c:pt idx="83">
                  <c:v>-0.15942380940187539</c:v>
                </c:pt>
                <c:pt idx="84">
                  <c:v>-0.16807069588115797</c:v>
                </c:pt>
                <c:pt idx="85">
                  <c:v>-0.1739154122197113</c:v>
                </c:pt>
                <c:pt idx="86">
                  <c:v>-0.1824487104727317</c:v>
                </c:pt>
                <c:pt idx="87">
                  <c:v>-0.1850097345433217</c:v>
                </c:pt>
                <c:pt idx="88">
                  <c:v>-0.19229420193507041</c:v>
                </c:pt>
                <c:pt idx="89">
                  <c:v>-0.20128133020072214</c:v>
                </c:pt>
                <c:pt idx="90">
                  <c:v>-0.20765701137148196</c:v>
                </c:pt>
                <c:pt idx="91">
                  <c:v>-0.2142751816411923</c:v>
                </c:pt>
                <c:pt idx="92">
                  <c:v>-0.2217652776740977</c:v>
                </c:pt>
                <c:pt idx="93">
                  <c:v>-0.2284707477287331</c:v>
                </c:pt>
                <c:pt idx="94">
                  <c:v>-0.24098736582955071</c:v>
                </c:pt>
                <c:pt idx="95">
                  <c:v>-0.24911855693675045</c:v>
                </c:pt>
                <c:pt idx="96">
                  <c:v>-0.25687043436837431</c:v>
                </c:pt>
                <c:pt idx="97">
                  <c:v>-0.26823092844717067</c:v>
                </c:pt>
                <c:pt idx="98">
                  <c:v>-0.27448529758475027</c:v>
                </c:pt>
                <c:pt idx="99">
                  <c:v>-0.28362414548163906</c:v>
                </c:pt>
                <c:pt idx="100">
                  <c:v>-0.29216589929608205</c:v>
                </c:pt>
                <c:pt idx="101">
                  <c:v>-0.29765108301611343</c:v>
                </c:pt>
                <c:pt idx="102">
                  <c:v>-0.30873828581373552</c:v>
                </c:pt>
                <c:pt idx="103">
                  <c:v>-0.31564155446742204</c:v>
                </c:pt>
                <c:pt idx="104">
                  <c:v>-0.3221999490417784</c:v>
                </c:pt>
                <c:pt idx="105">
                  <c:v>-0.32567225737898986</c:v>
                </c:pt>
                <c:pt idx="106">
                  <c:v>-0.33828295290056376</c:v>
                </c:pt>
                <c:pt idx="107">
                  <c:v>-0.34721379738771496</c:v>
                </c:pt>
                <c:pt idx="108">
                  <c:v>-0.35033682351830309</c:v>
                </c:pt>
                <c:pt idx="109">
                  <c:v>-0.36189235582567059</c:v>
                </c:pt>
                <c:pt idx="110">
                  <c:v>-0.37436206461141985</c:v>
                </c:pt>
                <c:pt idx="111">
                  <c:v>-0.38404525256570343</c:v>
                </c:pt>
                <c:pt idx="112">
                  <c:v>-0.39175610198077049</c:v>
                </c:pt>
                <c:pt idx="113">
                  <c:v>-0.38783124084797893</c:v>
                </c:pt>
                <c:pt idx="114">
                  <c:v>-0.42001685298511315</c:v>
                </c:pt>
                <c:pt idx="115">
                  <c:v>-0.4192038016599009</c:v>
                </c:pt>
                <c:pt idx="116">
                  <c:v>-0.39668304121538545</c:v>
                </c:pt>
                <c:pt idx="117">
                  <c:v>-0.43874920078792856</c:v>
                </c:pt>
                <c:pt idx="118">
                  <c:v>-0.42764106087510201</c:v>
                </c:pt>
                <c:pt idx="119">
                  <c:v>-0.44667268220316414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FB54-4E59-8B56-7D3EF4F1D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816512"/>
        <c:axId val="95816992"/>
      </c:scatterChart>
      <c:valAx>
        <c:axId val="9581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816992"/>
        <c:crosses val="autoZero"/>
        <c:crossBetween val="midCat"/>
      </c:valAx>
      <c:valAx>
        <c:axId val="958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816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Intersections!$Q$25:$Q$145</c:f>
              <c:numCache>
                <c:formatCode>General</c:formatCode>
                <c:ptCount val="121"/>
                <c:pt idx="0">
                  <c:v>22.455716314268837</c:v>
                </c:pt>
                <c:pt idx="1">
                  <c:v>22.143174642383755</c:v>
                </c:pt>
                <c:pt idx="2">
                  <c:v>22.180068872305778</c:v>
                </c:pt>
                <c:pt idx="3">
                  <c:v>20.987518059227575</c:v>
                </c:pt>
                <c:pt idx="4">
                  <c:v>21.304895619192973</c:v>
                </c:pt>
                <c:pt idx="5">
                  <c:v>20.320593115600225</c:v>
                </c:pt>
                <c:pt idx="6">
                  <c:v>20.418953494053415</c:v>
                </c:pt>
                <c:pt idx="7">
                  <c:v>20.276408793563807</c:v>
                </c:pt>
                <c:pt idx="8">
                  <c:v>19.719717786697192</c:v>
                </c:pt>
                <c:pt idx="9">
                  <c:v>19.045418582862975</c:v>
                </c:pt>
                <c:pt idx="10">
                  <c:v>18.991308053141783</c:v>
                </c:pt>
                <c:pt idx="11">
                  <c:v>18.223036932754876</c:v>
                </c:pt>
                <c:pt idx="12">
                  <c:v>18.001499235867378</c:v>
                </c:pt>
                <c:pt idx="13">
                  <c:v>17.841587416132413</c:v>
                </c:pt>
                <c:pt idx="14">
                  <c:v>17.425364737096</c:v>
                </c:pt>
                <c:pt idx="15">
                  <c:v>17.125482053954855</c:v>
                </c:pt>
                <c:pt idx="16">
                  <c:v>16.688789105446993</c:v>
                </c:pt>
                <c:pt idx="17">
                  <c:v>16.433482008263002</c:v>
                </c:pt>
                <c:pt idx="18">
                  <c:v>16.150404798486235</c:v>
                </c:pt>
                <c:pt idx="19">
                  <c:v>15.663960600372866</c:v>
                </c:pt>
                <c:pt idx="20">
                  <c:v>15.277258645028374</c:v>
                </c:pt>
                <c:pt idx="21">
                  <c:v>14.801663750961307</c:v>
                </c:pt>
                <c:pt idx="22">
                  <c:v>14.367149171274583</c:v>
                </c:pt>
                <c:pt idx="23">
                  <c:v>13.886625264419473</c:v>
                </c:pt>
                <c:pt idx="24">
                  <c:v>13.542829764571174</c:v>
                </c:pt>
                <c:pt idx="25">
                  <c:v>13.207299540972162</c:v>
                </c:pt>
                <c:pt idx="26">
                  <c:v>12.849781800725152</c:v>
                </c:pt>
                <c:pt idx="27">
                  <c:v>12.463605422314222</c:v>
                </c:pt>
                <c:pt idx="28">
                  <c:v>12.09494342673398</c:v>
                </c:pt>
                <c:pt idx="29">
                  <c:v>12.11105473940934</c:v>
                </c:pt>
                <c:pt idx="30">
                  <c:v>11.347189315518019</c:v>
                </c:pt>
                <c:pt idx="31">
                  <c:v>11.075779634795243</c:v>
                </c:pt>
                <c:pt idx="32">
                  <c:v>10.634058219820986</c:v>
                </c:pt>
                <c:pt idx="33">
                  <c:v>10.130528138528481</c:v>
                </c:pt>
                <c:pt idx="34">
                  <c:v>9.667511554450325</c:v>
                </c:pt>
                <c:pt idx="35">
                  <c:v>9.4364207648340042</c:v>
                </c:pt>
                <c:pt idx="36">
                  <c:v>8.7968984695119286</c:v>
                </c:pt>
                <c:pt idx="37">
                  <c:v>8.3782484199484752</c:v>
                </c:pt>
                <c:pt idx="38">
                  <c:v>8.0557108147789176</c:v>
                </c:pt>
                <c:pt idx="39">
                  <c:v>7.515960894244202</c:v>
                </c:pt>
                <c:pt idx="40">
                  <c:v>7.2290470547877188</c:v>
                </c:pt>
                <c:pt idx="41">
                  <c:v>6.7267764830891084</c:v>
                </c:pt>
                <c:pt idx="42">
                  <c:v>6.3213890279642104</c:v>
                </c:pt>
                <c:pt idx="43">
                  <c:v>5.9199380548211575</c:v>
                </c:pt>
                <c:pt idx="44">
                  <c:v>5.479340911390846</c:v>
                </c:pt>
                <c:pt idx="45">
                  <c:v>5.2032420227069238</c:v>
                </c:pt>
                <c:pt idx="46">
                  <c:v>4.8685393024285393</c:v>
                </c:pt>
                <c:pt idx="47">
                  <c:v>4.539681578156328</c:v>
                </c:pt>
                <c:pt idx="48">
                  <c:v>4.1488266931613076</c:v>
                </c:pt>
                <c:pt idx="49">
                  <c:v>3.8739233702900782</c:v>
                </c:pt>
                <c:pt idx="50">
                  <c:v>3.4586346612968142</c:v>
                </c:pt>
                <c:pt idx="51">
                  <c:v>2.9642552118709826</c:v>
                </c:pt>
                <c:pt idx="52">
                  <c:v>2.678932411596751</c:v>
                </c:pt>
                <c:pt idx="53">
                  <c:v>2.3428849594695453</c:v>
                </c:pt>
                <c:pt idx="54">
                  <c:v>1.9302993095595513</c:v>
                </c:pt>
                <c:pt idx="55">
                  <c:v>1.5559289954140361</c:v>
                </c:pt>
                <c:pt idx="56">
                  <c:v>1.1217242622015862</c:v>
                </c:pt>
                <c:pt idx="57">
                  <c:v>0.74887649705993542</c:v>
                </c:pt>
                <c:pt idx="58">
                  <c:v>0.44733106431780384</c:v>
                </c:pt>
                <c:pt idx="59">
                  <c:v>0.17196559567434216</c:v>
                </c:pt>
                <c:pt idx="60">
                  <c:v>0</c:v>
                </c:pt>
                <c:pt idx="61">
                  <c:v>-177.01049277356532</c:v>
                </c:pt>
                <c:pt idx="62">
                  <c:v>-1.474077543181425</c:v>
                </c:pt>
                <c:pt idx="63">
                  <c:v>-1.3919370530338946</c:v>
                </c:pt>
                <c:pt idx="64">
                  <c:v>-1.6714663742958484</c:v>
                </c:pt>
                <c:pt idx="65">
                  <c:v>-2.0030895702213347</c:v>
                </c:pt>
                <c:pt idx="66">
                  <c:v>-2.3524572219554809</c:v>
                </c:pt>
                <c:pt idx="67">
                  <c:v>-2.7213812550705612</c:v>
                </c:pt>
                <c:pt idx="68">
                  <c:v>-3.1392951434731873</c:v>
                </c:pt>
                <c:pt idx="69">
                  <c:v>-3.6467220606929396</c:v>
                </c:pt>
                <c:pt idx="70">
                  <c:v>-4.0562999792365408</c:v>
                </c:pt>
                <c:pt idx="71">
                  <c:v>-4.4618856967328053</c:v>
                </c:pt>
                <c:pt idx="72">
                  <c:v>-4.7809121804757044</c:v>
                </c:pt>
                <c:pt idx="73">
                  <c:v>-5.0847461963495864</c:v>
                </c:pt>
                <c:pt idx="74">
                  <c:v>-5.5077951169709509</c:v>
                </c:pt>
                <c:pt idx="75">
                  <c:v>-5.8608581664967447</c:v>
                </c:pt>
                <c:pt idx="76">
                  <c:v>-6.1519891116015941</c:v>
                </c:pt>
                <c:pt idx="77">
                  <c:v>-6.7104387321552066</c:v>
                </c:pt>
                <c:pt idx="78">
                  <c:v>-7.1284242511033202</c:v>
                </c:pt>
                <c:pt idx="79">
                  <c:v>-7.5671833799173527</c:v>
                </c:pt>
                <c:pt idx="80">
                  <c:v>-7.9869927237193545</c:v>
                </c:pt>
                <c:pt idx="81">
                  <c:v>-8.4405934172691435</c:v>
                </c:pt>
                <c:pt idx="82">
                  <c:v>-8.7989653266046499</c:v>
                </c:pt>
                <c:pt idx="83">
                  <c:v>-9.1343114326255144</c:v>
                </c:pt>
                <c:pt idx="84">
                  <c:v>-9.6297415338171408</c:v>
                </c:pt>
                <c:pt idx="85">
                  <c:v>-9.9646191124674015</c:v>
                </c:pt>
                <c:pt idx="86">
                  <c:v>-10.45354108769183</c:v>
                </c:pt>
                <c:pt idx="87">
                  <c:v>-10.600276958168051</c:v>
                </c:pt>
                <c:pt idx="88">
                  <c:v>-11.017646195715921</c:v>
                </c:pt>
                <c:pt idx="89">
                  <c:v>-11.532570715280494</c:v>
                </c:pt>
                <c:pt idx="90">
                  <c:v>-11.897870337886058</c:v>
                </c:pt>
                <c:pt idx="91">
                  <c:v>-12.27706356243942</c:v>
                </c:pt>
                <c:pt idx="92">
                  <c:v>-12.70621445327258</c:v>
                </c:pt>
                <c:pt idx="93">
                  <c:v>-13.090409587054545</c:v>
                </c:pt>
                <c:pt idx="94">
                  <c:v>-13.807558978008446</c:v>
                </c:pt>
                <c:pt idx="95">
                  <c:v>-14.2734419108653</c:v>
                </c:pt>
                <c:pt idx="96">
                  <c:v>-14.717591771000057</c:v>
                </c:pt>
                <c:pt idx="97">
                  <c:v>-15.368500134898452</c:v>
                </c:pt>
                <c:pt idx="98">
                  <c:v>-15.726849089998639</c:v>
                </c:pt>
                <c:pt idx="99">
                  <c:v>-16.250466504102377</c:v>
                </c:pt>
                <c:pt idx="100">
                  <c:v>-16.739872947309731</c:v>
                </c:pt>
                <c:pt idx="101">
                  <c:v>-17.054150824321397</c:v>
                </c:pt>
                <c:pt idx="102">
                  <c:v>-17.689400751230785</c:v>
                </c:pt>
                <c:pt idx="103">
                  <c:v>-18.084928909931978</c:v>
                </c:pt>
                <c:pt idx="104">
                  <c:v>-18.460697239424096</c:v>
                </c:pt>
                <c:pt idx="105">
                  <c:v>-18.659645852314402</c:v>
                </c:pt>
                <c:pt idx="106">
                  <c:v>-19.382185482425111</c:v>
                </c:pt>
                <c:pt idx="107">
                  <c:v>-19.893885179026555</c:v>
                </c:pt>
                <c:pt idx="108">
                  <c:v>-20.072821395618327</c:v>
                </c:pt>
                <c:pt idx="109">
                  <c:v>-20.734904626857556</c:v>
                </c:pt>
                <c:pt idx="110">
                  <c:v>-21.449366312038187</c:v>
                </c:pt>
                <c:pt idx="111">
                  <c:v>-22.004172114050558</c:v>
                </c:pt>
                <c:pt idx="112">
                  <c:v>-22.445971241994819</c:v>
                </c:pt>
                <c:pt idx="113">
                  <c:v>-22.221093263910927</c:v>
                </c:pt>
                <c:pt idx="114">
                  <c:v>-24.065193000413757</c:v>
                </c:pt>
                <c:pt idx="115">
                  <c:v>-24.018608590951576</c:v>
                </c:pt>
                <c:pt idx="116">
                  <c:v>-22.728264066055676</c:v>
                </c:pt>
                <c:pt idx="117">
                  <c:v>-25.13847746988624</c:v>
                </c:pt>
                <c:pt idx="118">
                  <c:v>-24.502027934640459</c:v>
                </c:pt>
                <c:pt idx="119">
                  <c:v>-25.592459514029581</c:v>
                </c:pt>
                <c:pt idx="120">
                  <c:v>-22.8053062091291</c:v>
                </c:pt>
              </c:numCache>
            </c:numRef>
          </c:xVal>
          <c:yVal>
            <c:numRef>
              <c:f>Intersections!$Y$25:$Y$145</c:f>
              <c:numCache>
                <c:formatCode>General</c:formatCode>
                <c:ptCount val="121"/>
                <c:pt idx="0">
                  <c:v>19645.892958921959</c:v>
                </c:pt>
                <c:pt idx="1">
                  <c:v>20792.222664101868</c:v>
                </c:pt>
                <c:pt idx="2">
                  <c:v>26110.250495750799</c:v>
                </c:pt>
                <c:pt idx="3">
                  <c:v>28459.745114512316</c:v>
                </c:pt>
                <c:pt idx="4">
                  <c:v>29949.190938988595</c:v>
                </c:pt>
                <c:pt idx="5">
                  <c:v>34026.395650646591</c:v>
                </c:pt>
                <c:pt idx="6">
                  <c:v>33128.778050974754</c:v>
                </c:pt>
                <c:pt idx="7">
                  <c:v>34727.748919579528</c:v>
                </c:pt>
                <c:pt idx="8">
                  <c:v>41593.872156538717</c:v>
                </c:pt>
                <c:pt idx="9">
                  <c:v>43448.730098346889</c:v>
                </c:pt>
                <c:pt idx="10">
                  <c:v>48198.29189182863</c:v>
                </c:pt>
                <c:pt idx="11">
                  <c:v>46677.236448863718</c:v>
                </c:pt>
                <c:pt idx="12">
                  <c:v>0</c:v>
                </c:pt>
                <c:pt idx="13">
                  <c:v>58581.639123000605</c:v>
                </c:pt>
                <c:pt idx="14">
                  <c:v>62357.575139093329</c:v>
                </c:pt>
                <c:pt idx="15">
                  <c:v>65783.531750532886</c:v>
                </c:pt>
                <c:pt idx="16">
                  <c:v>70991.701276371954</c:v>
                </c:pt>
                <c:pt idx="17">
                  <c:v>71803.464488531376</c:v>
                </c:pt>
                <c:pt idx="18">
                  <c:v>75432.238449338634</c:v>
                </c:pt>
                <c:pt idx="19">
                  <c:v>81730.209630458136</c:v>
                </c:pt>
                <c:pt idx="20">
                  <c:v>83631.145521451661</c:v>
                </c:pt>
                <c:pt idx="21">
                  <c:v>83973.866884110175</c:v>
                </c:pt>
                <c:pt idx="22">
                  <c:v>89138.686028220429</c:v>
                </c:pt>
                <c:pt idx="23">
                  <c:v>86521.297883077248</c:v>
                </c:pt>
                <c:pt idx="24">
                  <c:v>91901.116370367177</c:v>
                </c:pt>
                <c:pt idx="25">
                  <c:v>93564.352226391595</c:v>
                </c:pt>
                <c:pt idx="26">
                  <c:v>98725.907577194099</c:v>
                </c:pt>
                <c:pt idx="27">
                  <c:v>100342.66382564668</c:v>
                </c:pt>
                <c:pt idx="28">
                  <c:v>100054.39330748018</c:v>
                </c:pt>
                <c:pt idx="29">
                  <c:v>102854.57697006113</c:v>
                </c:pt>
                <c:pt idx="30">
                  <c:v>100718.22494104359</c:v>
                </c:pt>
                <c:pt idx="31">
                  <c:v>100028.70753185448</c:v>
                </c:pt>
                <c:pt idx="32">
                  <c:v>99841.840551433474</c:v>
                </c:pt>
                <c:pt idx="33">
                  <c:v>100251.25433130338</c:v>
                </c:pt>
                <c:pt idx="34">
                  <c:v>102231.83341070775</c:v>
                </c:pt>
                <c:pt idx="35">
                  <c:v>103784.63957276987</c:v>
                </c:pt>
                <c:pt idx="36">
                  <c:v>0</c:v>
                </c:pt>
                <c:pt idx="37">
                  <c:v>0</c:v>
                </c:pt>
                <c:pt idx="38">
                  <c:v>122654.38936796192</c:v>
                </c:pt>
                <c:pt idx="39">
                  <c:v>117713.78972975728</c:v>
                </c:pt>
                <c:pt idx="40">
                  <c:v>119581.90070957877</c:v>
                </c:pt>
                <c:pt idx="41">
                  <c:v>118164.68944008439</c:v>
                </c:pt>
                <c:pt idx="42">
                  <c:v>111535.11057993819</c:v>
                </c:pt>
                <c:pt idx="43">
                  <c:v>117909.85716555055</c:v>
                </c:pt>
                <c:pt idx="44">
                  <c:v>0</c:v>
                </c:pt>
                <c:pt idx="45">
                  <c:v>0</c:v>
                </c:pt>
                <c:pt idx="46">
                  <c:v>114891.73422451768</c:v>
                </c:pt>
                <c:pt idx="47">
                  <c:v>0</c:v>
                </c:pt>
                <c:pt idx="48">
                  <c:v>107715.4626719486</c:v>
                </c:pt>
                <c:pt idx="49">
                  <c:v>0</c:v>
                </c:pt>
                <c:pt idx="50">
                  <c:v>105382.53152842227</c:v>
                </c:pt>
                <c:pt idx="51">
                  <c:v>100303.50036609254</c:v>
                </c:pt>
                <c:pt idx="52">
                  <c:v>100621.16958361064</c:v>
                </c:pt>
                <c:pt idx="53">
                  <c:v>101975.23638519726</c:v>
                </c:pt>
                <c:pt idx="54">
                  <c:v>106658.18064275451</c:v>
                </c:pt>
                <c:pt idx="55">
                  <c:v>99572.067948098236</c:v>
                </c:pt>
                <c:pt idx="56">
                  <c:v>100724.38418475192</c:v>
                </c:pt>
                <c:pt idx="57">
                  <c:v>96272.9298093119</c:v>
                </c:pt>
                <c:pt idx="58">
                  <c:v>95753.855137090737</c:v>
                </c:pt>
                <c:pt idx="59">
                  <c:v>94970.119971047694</c:v>
                </c:pt>
                <c:pt idx="60">
                  <c:v>0</c:v>
                </c:pt>
                <c:pt idx="61">
                  <c:v>-93514.232919830989</c:v>
                </c:pt>
                <c:pt idx="62">
                  <c:v>0</c:v>
                </c:pt>
                <c:pt idx="63">
                  <c:v>0</c:v>
                </c:pt>
                <c:pt idx="64">
                  <c:v>89796.928394540722</c:v>
                </c:pt>
                <c:pt idx="65">
                  <c:v>88217.786441762102</c:v>
                </c:pt>
                <c:pt idx="66">
                  <c:v>86006.174959253185</c:v>
                </c:pt>
                <c:pt idx="67">
                  <c:v>89564.025744823783</c:v>
                </c:pt>
                <c:pt idx="68">
                  <c:v>88363.534757617643</c:v>
                </c:pt>
                <c:pt idx="69">
                  <c:v>87954.319284793572</c:v>
                </c:pt>
                <c:pt idx="70">
                  <c:v>89198.418169069439</c:v>
                </c:pt>
                <c:pt idx="71">
                  <c:v>75544.463876912181</c:v>
                </c:pt>
                <c:pt idx="72">
                  <c:v>84775.730789874098</c:v>
                </c:pt>
                <c:pt idx="73">
                  <c:v>81495.10708446108</c:v>
                </c:pt>
                <c:pt idx="74">
                  <c:v>63315.396539142159</c:v>
                </c:pt>
                <c:pt idx="75">
                  <c:v>84444.730370886915</c:v>
                </c:pt>
                <c:pt idx="76">
                  <c:v>87216.776934976544</c:v>
                </c:pt>
                <c:pt idx="77">
                  <c:v>82160.708594241572</c:v>
                </c:pt>
                <c:pt idx="78">
                  <c:v>80207.572341741237</c:v>
                </c:pt>
                <c:pt idx="79">
                  <c:v>79514.096103251315</c:v>
                </c:pt>
                <c:pt idx="80">
                  <c:v>78160.69280611568</c:v>
                </c:pt>
                <c:pt idx="81">
                  <c:v>78676.825912041619</c:v>
                </c:pt>
                <c:pt idx="82">
                  <c:v>77086.487558946304</c:v>
                </c:pt>
                <c:pt idx="83">
                  <c:v>74630.52398684081</c:v>
                </c:pt>
                <c:pt idx="84">
                  <c:v>68993.797429602942</c:v>
                </c:pt>
                <c:pt idx="85">
                  <c:v>69606.765366326828</c:v>
                </c:pt>
                <c:pt idx="86">
                  <c:v>68295.461974614183</c:v>
                </c:pt>
                <c:pt idx="87">
                  <c:v>65677.974080881904</c:v>
                </c:pt>
                <c:pt idx="88">
                  <c:v>64389.556614789224</c:v>
                </c:pt>
                <c:pt idx="89">
                  <c:v>0</c:v>
                </c:pt>
                <c:pt idx="90">
                  <c:v>61156.272963504583</c:v>
                </c:pt>
                <c:pt idx="91">
                  <c:v>0</c:v>
                </c:pt>
                <c:pt idx="92">
                  <c:v>59093.134424872085</c:v>
                </c:pt>
                <c:pt idx="93">
                  <c:v>59606.345915821876</c:v>
                </c:pt>
                <c:pt idx="94">
                  <c:v>53156.90369375085</c:v>
                </c:pt>
                <c:pt idx="95">
                  <c:v>53114.592649378021</c:v>
                </c:pt>
                <c:pt idx="96">
                  <c:v>50694.438762633108</c:v>
                </c:pt>
                <c:pt idx="97">
                  <c:v>48219.305367337372</c:v>
                </c:pt>
                <c:pt idx="98">
                  <c:v>38789.363919463089</c:v>
                </c:pt>
                <c:pt idx="99">
                  <c:v>40675.59603085585</c:v>
                </c:pt>
                <c:pt idx="100">
                  <c:v>0</c:v>
                </c:pt>
                <c:pt idx="101">
                  <c:v>36721.394769310275</c:v>
                </c:pt>
                <c:pt idx="102">
                  <c:v>34094.927108487747</c:v>
                </c:pt>
                <c:pt idx="103">
                  <c:v>33205.92358750281</c:v>
                </c:pt>
                <c:pt idx="104">
                  <c:v>31125.270602448749</c:v>
                </c:pt>
                <c:pt idx="105">
                  <c:v>29960.399697380912</c:v>
                </c:pt>
                <c:pt idx="106">
                  <c:v>0</c:v>
                </c:pt>
                <c:pt idx="107">
                  <c:v>26130.629180489977</c:v>
                </c:pt>
                <c:pt idx="108">
                  <c:v>25853.360841341662</c:v>
                </c:pt>
                <c:pt idx="109">
                  <c:v>25046.485320764368</c:v>
                </c:pt>
                <c:pt idx="110">
                  <c:v>24369.636086791365</c:v>
                </c:pt>
                <c:pt idx="111">
                  <c:v>0</c:v>
                </c:pt>
                <c:pt idx="112">
                  <c:v>19945.201485124333</c:v>
                </c:pt>
                <c:pt idx="113">
                  <c:v>0</c:v>
                </c:pt>
                <c:pt idx="114">
                  <c:v>18791.159833838061</c:v>
                </c:pt>
                <c:pt idx="115">
                  <c:v>15845.867161408107</c:v>
                </c:pt>
                <c:pt idx="116">
                  <c:v>13656.04990889227</c:v>
                </c:pt>
                <c:pt idx="117">
                  <c:v>14347.526258346963</c:v>
                </c:pt>
                <c:pt idx="118">
                  <c:v>10205.003075629158</c:v>
                </c:pt>
                <c:pt idx="119">
                  <c:v>8030.091684509036</c:v>
                </c:pt>
                <c:pt idx="120">
                  <c:v>5977.6582532339489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93A6-453B-A94B-12C9C529C78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Intersections!$Q$25:$Q$144</c:f>
              <c:numCache>
                <c:formatCode>General</c:formatCode>
                <c:ptCount val="120"/>
                <c:pt idx="0">
                  <c:v>22.455716314268837</c:v>
                </c:pt>
                <c:pt idx="1">
                  <c:v>22.143174642383755</c:v>
                </c:pt>
                <c:pt idx="2">
                  <c:v>22.180068872305778</c:v>
                </c:pt>
                <c:pt idx="3">
                  <c:v>20.987518059227575</c:v>
                </c:pt>
                <c:pt idx="4">
                  <c:v>21.304895619192973</c:v>
                </c:pt>
                <c:pt idx="5">
                  <c:v>20.320593115600225</c:v>
                </c:pt>
                <c:pt idx="6">
                  <c:v>20.418953494053415</c:v>
                </c:pt>
                <c:pt idx="7">
                  <c:v>20.276408793563807</c:v>
                </c:pt>
                <c:pt idx="8">
                  <c:v>19.719717786697192</c:v>
                </c:pt>
                <c:pt idx="9">
                  <c:v>19.045418582862975</c:v>
                </c:pt>
                <c:pt idx="10">
                  <c:v>18.991308053141783</c:v>
                </c:pt>
                <c:pt idx="11">
                  <c:v>18.223036932754876</c:v>
                </c:pt>
                <c:pt idx="12">
                  <c:v>18.001499235867378</c:v>
                </c:pt>
                <c:pt idx="13">
                  <c:v>17.841587416132413</c:v>
                </c:pt>
                <c:pt idx="14">
                  <c:v>17.425364737096</c:v>
                </c:pt>
                <c:pt idx="15">
                  <c:v>17.125482053954855</c:v>
                </c:pt>
                <c:pt idx="16">
                  <c:v>16.688789105446993</c:v>
                </c:pt>
                <c:pt idx="17">
                  <c:v>16.433482008263002</c:v>
                </c:pt>
                <c:pt idx="18">
                  <c:v>16.150404798486235</c:v>
                </c:pt>
                <c:pt idx="19">
                  <c:v>15.663960600372866</c:v>
                </c:pt>
                <c:pt idx="20">
                  <c:v>15.277258645028374</c:v>
                </c:pt>
                <c:pt idx="21">
                  <c:v>14.801663750961307</c:v>
                </c:pt>
                <c:pt idx="22">
                  <c:v>14.367149171274583</c:v>
                </c:pt>
                <c:pt idx="23">
                  <c:v>13.886625264419473</c:v>
                </c:pt>
                <c:pt idx="24">
                  <c:v>13.542829764571174</c:v>
                </c:pt>
                <c:pt idx="25">
                  <c:v>13.207299540972162</c:v>
                </c:pt>
                <c:pt idx="26">
                  <c:v>12.849781800725152</c:v>
                </c:pt>
                <c:pt idx="27">
                  <c:v>12.463605422314222</c:v>
                </c:pt>
                <c:pt idx="28">
                  <c:v>12.09494342673398</c:v>
                </c:pt>
                <c:pt idx="29">
                  <c:v>12.11105473940934</c:v>
                </c:pt>
                <c:pt idx="30">
                  <c:v>11.347189315518019</c:v>
                </c:pt>
                <c:pt idx="31">
                  <c:v>11.075779634795243</c:v>
                </c:pt>
                <c:pt idx="32">
                  <c:v>10.634058219820986</c:v>
                </c:pt>
                <c:pt idx="33">
                  <c:v>10.130528138528481</c:v>
                </c:pt>
                <c:pt idx="34">
                  <c:v>9.667511554450325</c:v>
                </c:pt>
                <c:pt idx="35">
                  <c:v>9.4364207648340042</c:v>
                </c:pt>
                <c:pt idx="36">
                  <c:v>8.7968984695119286</c:v>
                </c:pt>
                <c:pt idx="37">
                  <c:v>8.3782484199484752</c:v>
                </c:pt>
                <c:pt idx="38">
                  <c:v>8.0557108147789176</c:v>
                </c:pt>
                <c:pt idx="39">
                  <c:v>7.515960894244202</c:v>
                </c:pt>
                <c:pt idx="40">
                  <c:v>7.2290470547877188</c:v>
                </c:pt>
                <c:pt idx="41">
                  <c:v>6.7267764830891084</c:v>
                </c:pt>
                <c:pt idx="42">
                  <c:v>6.3213890279642104</c:v>
                </c:pt>
                <c:pt idx="43">
                  <c:v>5.9199380548211575</c:v>
                </c:pt>
                <c:pt idx="44">
                  <c:v>5.479340911390846</c:v>
                </c:pt>
                <c:pt idx="45">
                  <c:v>5.2032420227069238</c:v>
                </c:pt>
                <c:pt idx="46">
                  <c:v>4.8685393024285393</c:v>
                </c:pt>
                <c:pt idx="47">
                  <c:v>4.539681578156328</c:v>
                </c:pt>
                <c:pt idx="48">
                  <c:v>4.1488266931613076</c:v>
                </c:pt>
                <c:pt idx="49">
                  <c:v>3.8739233702900782</c:v>
                </c:pt>
                <c:pt idx="50">
                  <c:v>3.4586346612968142</c:v>
                </c:pt>
                <c:pt idx="51">
                  <c:v>2.9642552118709826</c:v>
                </c:pt>
                <c:pt idx="52">
                  <c:v>2.678932411596751</c:v>
                </c:pt>
                <c:pt idx="53">
                  <c:v>2.3428849594695453</c:v>
                </c:pt>
                <c:pt idx="54">
                  <c:v>1.9302993095595513</c:v>
                </c:pt>
                <c:pt idx="55">
                  <c:v>1.5559289954140361</c:v>
                </c:pt>
                <c:pt idx="56">
                  <c:v>1.1217242622015862</c:v>
                </c:pt>
                <c:pt idx="57">
                  <c:v>0.74887649705993542</c:v>
                </c:pt>
                <c:pt idx="58">
                  <c:v>0.44733106431780384</c:v>
                </c:pt>
                <c:pt idx="59">
                  <c:v>0.17196559567434216</c:v>
                </c:pt>
                <c:pt idx="60">
                  <c:v>0</c:v>
                </c:pt>
                <c:pt idx="61">
                  <c:v>-177.01049277356532</c:v>
                </c:pt>
                <c:pt idx="62">
                  <c:v>-1.474077543181425</c:v>
                </c:pt>
                <c:pt idx="63">
                  <c:v>-1.3919370530338946</c:v>
                </c:pt>
                <c:pt idx="64">
                  <c:v>-1.6714663742958484</c:v>
                </c:pt>
                <c:pt idx="65">
                  <c:v>-2.0030895702213347</c:v>
                </c:pt>
                <c:pt idx="66">
                  <c:v>-2.3524572219554809</c:v>
                </c:pt>
                <c:pt idx="67">
                  <c:v>-2.7213812550705612</c:v>
                </c:pt>
                <c:pt idx="68">
                  <c:v>-3.1392951434731873</c:v>
                </c:pt>
                <c:pt idx="69">
                  <c:v>-3.6467220606929396</c:v>
                </c:pt>
                <c:pt idx="70">
                  <c:v>-4.0562999792365408</c:v>
                </c:pt>
                <c:pt idx="71">
                  <c:v>-4.4618856967328053</c:v>
                </c:pt>
                <c:pt idx="72">
                  <c:v>-4.7809121804757044</c:v>
                </c:pt>
                <c:pt idx="73">
                  <c:v>-5.0847461963495864</c:v>
                </c:pt>
                <c:pt idx="74">
                  <c:v>-5.5077951169709509</c:v>
                </c:pt>
                <c:pt idx="75">
                  <c:v>-5.8608581664967447</c:v>
                </c:pt>
                <c:pt idx="76">
                  <c:v>-6.1519891116015941</c:v>
                </c:pt>
                <c:pt idx="77">
                  <c:v>-6.7104387321552066</c:v>
                </c:pt>
                <c:pt idx="78">
                  <c:v>-7.1284242511033202</c:v>
                </c:pt>
                <c:pt idx="79">
                  <c:v>-7.5671833799173527</c:v>
                </c:pt>
                <c:pt idx="80">
                  <c:v>-7.9869927237193545</c:v>
                </c:pt>
                <c:pt idx="81">
                  <c:v>-8.4405934172691435</c:v>
                </c:pt>
                <c:pt idx="82">
                  <c:v>-8.7989653266046499</c:v>
                </c:pt>
                <c:pt idx="83">
                  <c:v>-9.1343114326255144</c:v>
                </c:pt>
                <c:pt idx="84">
                  <c:v>-9.6297415338171408</c:v>
                </c:pt>
                <c:pt idx="85">
                  <c:v>-9.9646191124674015</c:v>
                </c:pt>
                <c:pt idx="86">
                  <c:v>-10.45354108769183</c:v>
                </c:pt>
                <c:pt idx="87">
                  <c:v>-10.600276958168051</c:v>
                </c:pt>
                <c:pt idx="88">
                  <c:v>-11.017646195715921</c:v>
                </c:pt>
                <c:pt idx="89">
                  <c:v>-11.532570715280494</c:v>
                </c:pt>
                <c:pt idx="90">
                  <c:v>-11.897870337886058</c:v>
                </c:pt>
                <c:pt idx="91">
                  <c:v>-12.27706356243942</c:v>
                </c:pt>
                <c:pt idx="92">
                  <c:v>-12.70621445327258</c:v>
                </c:pt>
                <c:pt idx="93">
                  <c:v>-13.090409587054545</c:v>
                </c:pt>
                <c:pt idx="94">
                  <c:v>-13.807558978008446</c:v>
                </c:pt>
                <c:pt idx="95">
                  <c:v>-14.2734419108653</c:v>
                </c:pt>
                <c:pt idx="96">
                  <c:v>-14.717591771000057</c:v>
                </c:pt>
                <c:pt idx="97">
                  <c:v>-15.368500134898452</c:v>
                </c:pt>
                <c:pt idx="98">
                  <c:v>-15.726849089998639</c:v>
                </c:pt>
                <c:pt idx="99">
                  <c:v>-16.250466504102377</c:v>
                </c:pt>
                <c:pt idx="100">
                  <c:v>-16.739872947309731</c:v>
                </c:pt>
                <c:pt idx="101">
                  <c:v>-17.054150824321397</c:v>
                </c:pt>
                <c:pt idx="102">
                  <c:v>-17.689400751230785</c:v>
                </c:pt>
                <c:pt idx="103">
                  <c:v>-18.084928909931978</c:v>
                </c:pt>
                <c:pt idx="104">
                  <c:v>-18.460697239424096</c:v>
                </c:pt>
                <c:pt idx="105">
                  <c:v>-18.659645852314402</c:v>
                </c:pt>
                <c:pt idx="106">
                  <c:v>-19.382185482425111</c:v>
                </c:pt>
                <c:pt idx="107">
                  <c:v>-19.893885179026555</c:v>
                </c:pt>
                <c:pt idx="108">
                  <c:v>-20.072821395618327</c:v>
                </c:pt>
                <c:pt idx="109">
                  <c:v>-20.734904626857556</c:v>
                </c:pt>
                <c:pt idx="110">
                  <c:v>-21.449366312038187</c:v>
                </c:pt>
                <c:pt idx="111">
                  <c:v>-22.004172114050558</c:v>
                </c:pt>
                <c:pt idx="112">
                  <c:v>-22.445971241994819</c:v>
                </c:pt>
                <c:pt idx="113">
                  <c:v>-22.221093263910927</c:v>
                </c:pt>
                <c:pt idx="114">
                  <c:v>-24.065193000413757</c:v>
                </c:pt>
                <c:pt idx="115">
                  <c:v>-24.018608590951576</c:v>
                </c:pt>
                <c:pt idx="116">
                  <c:v>-22.728264066055676</c:v>
                </c:pt>
                <c:pt idx="117">
                  <c:v>-25.13847746988624</c:v>
                </c:pt>
                <c:pt idx="118">
                  <c:v>-24.502027934640459</c:v>
                </c:pt>
                <c:pt idx="119">
                  <c:v>-25.592459514029581</c:v>
                </c:pt>
              </c:numCache>
            </c:numRef>
          </c:xVal>
          <c:yVal>
            <c:numRef>
              <c:f>Intersections!$X$25:$X$144</c:f>
              <c:numCache>
                <c:formatCode>General</c:formatCode>
                <c:ptCount val="120"/>
                <c:pt idx="0">
                  <c:v>18156.24373578907</c:v>
                </c:pt>
                <c:pt idx="1">
                  <c:v>19258.689535743171</c:v>
                </c:pt>
                <c:pt idx="2">
                  <c:v>24178.143289742449</c:v>
                </c:pt>
                <c:pt idx="3">
                  <c:v>26571.682226667079</c:v>
                </c:pt>
                <c:pt idx="4">
                  <c:v>27902.468809801339</c:v>
                </c:pt>
                <c:pt idx="5">
                  <c:v>31908.734989556931</c:v>
                </c:pt>
                <c:pt idx="6">
                  <c:v>31047.1852910735</c:v>
                </c:pt>
                <c:pt idx="7">
                  <c:v>32575.729490178092</c:v>
                </c:pt>
                <c:pt idx="8">
                  <c:v>39154.577936736387</c:v>
                </c:pt>
                <c:pt idx="9">
                  <c:v>41070.355278043928</c:v>
                </c:pt>
                <c:pt idx="10">
                  <c:v>45574.760270430161</c:v>
                </c:pt>
                <c:pt idx="11">
                  <c:v>44336.204729326113</c:v>
                </c:pt>
                <c:pt idx="13">
                  <c:v>55764.287401409063</c:v>
                </c:pt>
                <c:pt idx="14">
                  <c:v>59495.851959672989</c:v>
                </c:pt>
                <c:pt idx="15">
                  <c:v>62866.831196059611</c:v>
                </c:pt>
                <c:pt idx="16">
                  <c:v>68001.438776928524</c:v>
                </c:pt>
                <c:pt idx="17">
                  <c:v>68870.208129223043</c:v>
                </c:pt>
                <c:pt idx="18">
                  <c:v>72455.291616529823</c:v>
                </c:pt>
                <c:pt idx="19">
                  <c:v>78694.893925185548</c:v>
                </c:pt>
                <c:pt idx="20">
                  <c:v>80675.794518113849</c:v>
                </c:pt>
                <c:pt idx="21">
                  <c:v>81187.275614937287</c:v>
                </c:pt>
                <c:pt idx="22">
                  <c:v>86350.926173295738</c:v>
                </c:pt>
                <c:pt idx="23">
                  <c:v>83992.499445920403</c:v>
                </c:pt>
                <c:pt idx="24">
                  <c:v>89345.819023583856</c:v>
                </c:pt>
                <c:pt idx="25">
                  <c:v>91089.556662621981</c:v>
                </c:pt>
                <c:pt idx="26">
                  <c:v>96253.464564372611</c:v>
                </c:pt>
                <c:pt idx="27">
                  <c:v>97977.917739965589</c:v>
                </c:pt>
                <c:pt idx="28">
                  <c:v>97833.359129939141</c:v>
                </c:pt>
                <c:pt idx="29">
                  <c:v>100565.31944830769</c:v>
                </c:pt>
                <c:pt idx="30">
                  <c:v>98749.48005518518</c:v>
                </c:pt>
                <c:pt idx="31">
                  <c:v>98165.568842644148</c:v>
                </c:pt>
                <c:pt idx="32">
                  <c:v>98127.139773902221</c:v>
                </c:pt>
                <c:pt idx="33">
                  <c:v>98688.297370370477</c:v>
                </c:pt>
                <c:pt idx="34">
                  <c:v>100780.0237290239</c:v>
                </c:pt>
                <c:pt idx="35">
                  <c:v>102380.24058232149</c:v>
                </c:pt>
                <c:pt idx="38">
                  <c:v>121444.0698863146</c:v>
                </c:pt>
                <c:pt idx="39">
                  <c:v>116702.4472561619</c:v>
                </c:pt>
                <c:pt idx="40">
                  <c:v>118631.34825159061</c:v>
                </c:pt>
                <c:pt idx="41">
                  <c:v>117351.24566052121</c:v>
                </c:pt>
                <c:pt idx="42">
                  <c:v>110856.96834043899</c:v>
                </c:pt>
                <c:pt idx="43">
                  <c:v>117281.0423245525</c:v>
                </c:pt>
                <c:pt idx="46">
                  <c:v>114477.2103394843</c:v>
                </c:pt>
                <c:pt idx="48">
                  <c:v>107433.1933967357</c:v>
                </c:pt>
                <c:pt idx="50">
                  <c:v>105190.5891529893</c:v>
                </c:pt>
                <c:pt idx="51">
                  <c:v>100169.2933746153</c:v>
                </c:pt>
                <c:pt idx="52">
                  <c:v>100511.2035670294</c:v>
                </c:pt>
                <c:pt idx="53">
                  <c:v>101889.9929636068</c:v>
                </c:pt>
                <c:pt idx="54">
                  <c:v>106597.6567095512</c:v>
                </c:pt>
                <c:pt idx="55">
                  <c:v>99535.355349565536</c:v>
                </c:pt>
                <c:pt idx="56">
                  <c:v>100705.0815001025</c:v>
                </c:pt>
                <c:pt idx="57">
                  <c:v>96264.706565876957</c:v>
                </c:pt>
                <c:pt idx="58">
                  <c:v>95750.936790168067</c:v>
                </c:pt>
                <c:pt idx="59">
                  <c:v>94969.692216597046</c:v>
                </c:pt>
                <c:pt idx="61">
                  <c:v>93386.96963147448</c:v>
                </c:pt>
                <c:pt idx="64">
                  <c:v>89758.720710939582</c:v>
                </c:pt>
                <c:pt idx="65">
                  <c:v>88163.880405338379</c:v>
                </c:pt>
                <c:pt idx="66">
                  <c:v>85933.691847197304</c:v>
                </c:pt>
                <c:pt idx="67">
                  <c:v>89463.017813698243</c:v>
                </c:pt>
                <c:pt idx="68">
                  <c:v>88230.931722249923</c:v>
                </c:pt>
                <c:pt idx="69">
                  <c:v>87776.228837335395</c:v>
                </c:pt>
                <c:pt idx="70">
                  <c:v>88974.978323087751</c:v>
                </c:pt>
                <c:pt idx="71">
                  <c:v>75315.511702259086</c:v>
                </c:pt>
                <c:pt idx="72">
                  <c:v>84480.768964649367</c:v>
                </c:pt>
                <c:pt idx="73">
                  <c:v>81174.399092927459</c:v>
                </c:pt>
                <c:pt idx="74">
                  <c:v>63023.078806091711</c:v>
                </c:pt>
                <c:pt idx="75">
                  <c:v>84003.32156177354</c:v>
                </c:pt>
                <c:pt idx="76">
                  <c:v>86714.505353736837</c:v>
                </c:pt>
                <c:pt idx="77">
                  <c:v>81597.856536587511</c:v>
                </c:pt>
                <c:pt idx="78">
                  <c:v>79587.607709389558</c:v>
                </c:pt>
                <c:pt idx="79">
                  <c:v>78821.618063986738</c:v>
                </c:pt>
                <c:pt idx="80">
                  <c:v>77402.505813010896</c:v>
                </c:pt>
                <c:pt idx="81">
                  <c:v>77824.644677589298</c:v>
                </c:pt>
                <c:pt idx="82">
                  <c:v>76179.267785286531</c:v>
                </c:pt>
                <c:pt idx="83">
                  <c:v>73684.128128707845</c:v>
                </c:pt>
                <c:pt idx="84">
                  <c:v>68021.629055516998</c:v>
                </c:pt>
                <c:pt idx="85">
                  <c:v>68556.733058403886</c:v>
                </c:pt>
                <c:pt idx="86">
                  <c:v>67161.91793559627</c:v>
                </c:pt>
                <c:pt idx="87">
                  <c:v>64557.143983680893</c:v>
                </c:pt>
                <c:pt idx="88">
                  <c:v>63202.752178665658</c:v>
                </c:pt>
                <c:pt idx="90">
                  <c:v>59842.431282898469</c:v>
                </c:pt>
                <c:pt idx="92">
                  <c:v>57645.984520331847</c:v>
                </c:pt>
                <c:pt idx="93">
                  <c:v>58057.408943634422</c:v>
                </c:pt>
                <c:pt idx="94">
                  <c:v>51620.818120775133</c:v>
                </c:pt>
                <c:pt idx="95">
                  <c:v>51474.951430756257</c:v>
                </c:pt>
                <c:pt idx="96">
                  <c:v>49031.143823603139</c:v>
                </c:pt>
                <c:pt idx="97">
                  <c:v>46495.043522703243</c:v>
                </c:pt>
                <c:pt idx="98">
                  <c:v>37337.277719845923</c:v>
                </c:pt>
                <c:pt idx="99">
                  <c:v>39050.507370849467</c:v>
                </c:pt>
                <c:pt idx="101">
                  <c:v>35106.681797873884</c:v>
                </c:pt>
                <c:pt idx="102">
                  <c:v>32482.840828735589</c:v>
                </c:pt>
                <c:pt idx="103">
                  <c:v>31565.465261654648</c:v>
                </c:pt>
                <c:pt idx="104">
                  <c:v>29523.598140976439</c:v>
                </c:pt>
                <c:pt idx="105">
                  <c:v>28385.556891674409</c:v>
                </c:pt>
                <c:pt idx="107">
                  <c:v>24571.26946632308</c:v>
                </c:pt>
                <c:pt idx="108">
                  <c:v>24282.95437123768</c:v>
                </c:pt>
                <c:pt idx="109">
                  <c:v>23424.1874015102</c:v>
                </c:pt>
                <c:pt idx="110">
                  <c:v>22681.821672947401</c:v>
                </c:pt>
                <c:pt idx="112">
                  <c:v>18434.152709688529</c:v>
                </c:pt>
                <c:pt idx="114">
                  <c:v>17157.87108499134</c:v>
                </c:pt>
                <c:pt idx="115">
                  <c:v>14473.825958761199</c:v>
                </c:pt>
                <c:pt idx="116">
                  <c:v>12595.624986966581</c:v>
                </c:pt>
                <c:pt idx="117">
                  <c:v>12988.58194520291</c:v>
                </c:pt>
                <c:pt idx="118">
                  <c:v>9286.0077761141165</c:v>
                </c:pt>
                <c:pt idx="119">
                  <c:v>7242.2544412383349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93A6-453B-A94B-12C9C529C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6387984"/>
        <c:axId val="1876388464"/>
      </c:scatterChart>
      <c:valAx>
        <c:axId val="1876387984"/>
        <c:scaling>
          <c:orientation val="minMax"/>
          <c:max val="30"/>
          <c:min val="-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6388464"/>
        <c:crosses val="autoZero"/>
        <c:crossBetween val="midCat"/>
      </c:valAx>
      <c:valAx>
        <c:axId val="18763884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6387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9.7171697287839018E-2"/>
          <c:y val="0.19721055701370663"/>
          <c:w val="0.88890507436570432"/>
          <c:h val="0.77736111111111106"/>
        </c:manualLayout>
      </c:layout>
      <c:lineChart>
        <c:grouping val="standard"/>
        <c:varyColors val="0"/>
        <c:ser>
          <c:idx val="0"/>
          <c:order val="0"/>
          <c:tx>
            <c:strRef>
              <c:f>Intersections!$S$1</c:f>
              <c:strCache>
                <c:ptCount val="1"/>
                <c:pt idx="0">
                  <c:v>cos theta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Intersections!$S$2:$S$163</c:f>
              <c:numCache>
                <c:formatCode>General</c:formatCode>
                <c:ptCount val="162"/>
                <c:pt idx="0">
                  <c:v>-0.95339848843694053</c:v>
                </c:pt>
                <c:pt idx="1">
                  <c:v>0.99882080669510531</c:v>
                </c:pt>
                <c:pt idx="2">
                  <c:v>0.99647784295243036</c:v>
                </c:pt>
                <c:pt idx="3">
                  <c:v>0.99821243776316737</c:v>
                </c:pt>
                <c:pt idx="4">
                  <c:v>0.99985281475205989</c:v>
                </c:pt>
                <c:pt idx="5">
                  <c:v>0.98557806675926229</c:v>
                </c:pt>
                <c:pt idx="6">
                  <c:v>0.99982071654953042</c:v>
                </c:pt>
                <c:pt idx="7">
                  <c:v>-0.99997062485968424</c:v>
                </c:pt>
                <c:pt idx="8">
                  <c:v>0.84170246294911599</c:v>
                </c:pt>
                <c:pt idx="9">
                  <c:v>0.97783889479048114</c:v>
                </c:pt>
                <c:pt idx="10">
                  <c:v>0.96521042551774194</c:v>
                </c:pt>
                <c:pt idx="11">
                  <c:v>0.63916882366586303</c:v>
                </c:pt>
                <c:pt idx="12">
                  <c:v>-0.88424223269770097</c:v>
                </c:pt>
                <c:pt idx="13">
                  <c:v>-0.60327032621931753</c:v>
                </c:pt>
                <c:pt idx="14">
                  <c:v>-0.93623689209105287</c:v>
                </c:pt>
                <c:pt idx="15">
                  <c:v>0.91557228431496873</c:v>
                </c:pt>
                <c:pt idx="16">
                  <c:v>0.95704415402091636</c:v>
                </c:pt>
                <c:pt idx="17">
                  <c:v>-0.91662216251982764</c:v>
                </c:pt>
                <c:pt idx="18">
                  <c:v>0.94025076502265859</c:v>
                </c:pt>
                <c:pt idx="19">
                  <c:v>0.9565884839182045</c:v>
                </c:pt>
                <c:pt idx="20">
                  <c:v>0.92746332363716488</c:v>
                </c:pt>
                <c:pt idx="21">
                  <c:v>0.93068054738250861</c:v>
                </c:pt>
                <c:pt idx="22">
                  <c:v>-0.77004753183419705</c:v>
                </c:pt>
                <c:pt idx="23">
                  <c:v>0.92417503107404542</c:v>
                </c:pt>
                <c:pt idx="24">
                  <c:v>0.92624486794255201</c:v>
                </c:pt>
                <c:pt idx="25">
                  <c:v>0.92600196592051909</c:v>
                </c:pt>
                <c:pt idx="26">
                  <c:v>0.93365847514627009</c:v>
                </c:pt>
                <c:pt idx="27">
                  <c:v>0.9316601863016345</c:v>
                </c:pt>
                <c:pt idx="28">
                  <c:v>0.93776417923214805</c:v>
                </c:pt>
                <c:pt idx="29">
                  <c:v>0.93716663027237723</c:v>
                </c:pt>
                <c:pt idx="30">
                  <c:v>0.93803170385777213</c:v>
                </c:pt>
                <c:pt idx="31">
                  <c:v>0.94135448100090235</c:v>
                </c:pt>
                <c:pt idx="32">
                  <c:v>0.94526019943691164</c:v>
                </c:pt>
                <c:pt idx="33">
                  <c:v>0.94556795441451624</c:v>
                </c:pt>
                <c:pt idx="34">
                  <c:v>0.9498463941389873</c:v>
                </c:pt>
                <c:pt idx="35">
                  <c:v>0.95104843004481521</c:v>
                </c:pt>
                <c:pt idx="36">
                  <c:v>0.95190725688511202</c:v>
                </c:pt>
                <c:pt idx="37">
                  <c:v>0.95410785020044397</c:v>
                </c:pt>
                <c:pt idx="38">
                  <c:v>0.95566214709276909</c:v>
                </c:pt>
                <c:pt idx="39">
                  <c:v>0.95787870348673165</c:v>
                </c:pt>
                <c:pt idx="40">
                  <c:v>0.95914881851171907</c:v>
                </c:pt>
                <c:pt idx="41">
                  <c:v>0.96053482046925909</c:v>
                </c:pt>
                <c:pt idx="42">
                  <c:v>0.96286176532524848</c:v>
                </c:pt>
                <c:pt idx="43">
                  <c:v>0.96466207673097393</c:v>
                </c:pt>
                <c:pt idx="44">
                  <c:v>0.96681597058024515</c:v>
                </c:pt>
                <c:pt idx="45">
                  <c:v>0.96872558953760979</c:v>
                </c:pt>
                <c:pt idx="46">
                  <c:v>0.97077253232407357</c:v>
                </c:pt>
                <c:pt idx="47">
                  <c:v>0.9721951435662074</c:v>
                </c:pt>
                <c:pt idx="48">
                  <c:v>0.97354980283750048</c:v>
                </c:pt>
                <c:pt idx="49">
                  <c:v>0.97495649243955262</c:v>
                </c:pt>
                <c:pt idx="50">
                  <c:v>0.97643329372050525</c:v>
                </c:pt>
                <c:pt idx="51">
                  <c:v>0.97780173259643377</c:v>
                </c:pt>
                <c:pt idx="52">
                  <c:v>0.97774277441810109</c:v>
                </c:pt>
                <c:pt idx="53">
                  <c:v>0.98045294298017227</c:v>
                </c:pt>
                <c:pt idx="54">
                  <c:v>0.98137396018421008</c:v>
                </c:pt>
                <c:pt idx="55">
                  <c:v>0.98282582965156851</c:v>
                </c:pt>
                <c:pt idx="56">
                  <c:v>0.98440960194106142</c:v>
                </c:pt>
                <c:pt idx="57">
                  <c:v>0.98579884921117156</c:v>
                </c:pt>
                <c:pt idx="58">
                  <c:v>0.98646814214290679</c:v>
                </c:pt>
                <c:pt idx="59">
                  <c:v>0.98823666141554112</c:v>
                </c:pt>
                <c:pt idx="60">
                  <c:v>0.98932772015004877</c:v>
                </c:pt>
                <c:pt idx="61">
                  <c:v>0.99013227746773591</c:v>
                </c:pt>
                <c:pt idx="62">
                  <c:v>0.99140846220381507</c:v>
                </c:pt>
                <c:pt idx="63">
                  <c:v>0.99205103404154193</c:v>
                </c:pt>
                <c:pt idx="64">
                  <c:v>0.99311601643927949</c:v>
                </c:pt>
                <c:pt idx="65">
                  <c:v>0.9939199213953962</c:v>
                </c:pt>
                <c:pt idx="66">
                  <c:v>0.99466698666155484</c:v>
                </c:pt>
                <c:pt idx="67">
                  <c:v>0.99543069267898188</c:v>
                </c:pt>
                <c:pt idx="68">
                  <c:v>0.99587926867042997</c:v>
                </c:pt>
                <c:pt idx="69">
                  <c:v>0.99639204780194779</c:v>
                </c:pt>
                <c:pt idx="70">
                  <c:v>0.99686275590252349</c:v>
                </c:pt>
                <c:pt idx="71">
                  <c:v>0.99737949159562578</c:v>
                </c:pt>
                <c:pt idx="72">
                  <c:v>0.99771513083216046</c:v>
                </c:pt>
                <c:pt idx="73">
                  <c:v>0.99817861297646648</c:v>
                </c:pt>
                <c:pt idx="74">
                  <c:v>0.9986619909476</c:v>
                </c:pt>
                <c:pt idx="75">
                  <c:v>0.99890712842003038</c:v>
                </c:pt>
                <c:pt idx="76">
                  <c:v>0.99916407723470757</c:v>
                </c:pt>
                <c:pt idx="77">
                  <c:v>0.99943254298133932</c:v>
                </c:pt>
                <c:pt idx="78">
                  <c:v>0.99963129621299185</c:v>
                </c:pt>
                <c:pt idx="79">
                  <c:v>0.99980836135355255</c:v>
                </c:pt>
                <c:pt idx="80">
                  <c:v>0.99991458405336542</c:v>
                </c:pt>
                <c:pt idx="81">
                  <c:v>0.99996952240806913</c:v>
                </c:pt>
                <c:pt idx="82">
                  <c:v>0.99999549590491432</c:v>
                </c:pt>
                <c:pt idx="83">
                  <c:v>1</c:v>
                </c:pt>
                <c:pt idx="84">
                  <c:v>-0.99863910247260845</c:v>
                </c:pt>
                <c:pt idx="85">
                  <c:v>0.99966906595764926</c:v>
                </c:pt>
                <c:pt idx="86">
                  <c:v>0.99970491809995443</c:v>
                </c:pt>
                <c:pt idx="87">
                  <c:v>0.99957451012763754</c:v>
                </c:pt>
                <c:pt idx="88">
                  <c:v>0.99938894367453546</c:v>
                </c:pt>
                <c:pt idx="89">
                  <c:v>0.9991572336278155</c:v>
                </c:pt>
                <c:pt idx="90">
                  <c:v>0.9988722265408958</c:v>
                </c:pt>
                <c:pt idx="91">
                  <c:v>0.99849934663963524</c:v>
                </c:pt>
                <c:pt idx="92">
                  <c:v>0.99797519384032152</c:v>
                </c:pt>
                <c:pt idx="93">
                  <c:v>0.99749502456917816</c:v>
                </c:pt>
                <c:pt idx="94">
                  <c:v>0.99696930571873366</c:v>
                </c:pt>
                <c:pt idx="95">
                  <c:v>0.99652068083074585</c:v>
                </c:pt>
                <c:pt idx="96">
                  <c:v>0.99606469636022144</c:v>
                </c:pt>
                <c:pt idx="97">
                  <c:v>0.99538314929655802</c:v>
                </c:pt>
                <c:pt idx="98">
                  <c:v>0.99477280811751456</c:v>
                </c:pt>
                <c:pt idx="99">
                  <c:v>0.99424111278941008</c:v>
                </c:pt>
                <c:pt idx="100">
                  <c:v>0.99314937678503046</c:v>
                </c:pt>
                <c:pt idx="101">
                  <c:v>0.99227049748233009</c:v>
                </c:pt>
                <c:pt idx="102">
                  <c:v>0.99129112857718493</c:v>
                </c:pt>
                <c:pt idx="103">
                  <c:v>0.99029963827232792</c:v>
                </c:pt>
                <c:pt idx="104">
                  <c:v>0.98916858649832884</c:v>
                </c:pt>
                <c:pt idx="105">
                  <c:v>0.98823114397363032</c:v>
                </c:pt>
                <c:pt idx="106">
                  <c:v>0.98731891714575348</c:v>
                </c:pt>
                <c:pt idx="107">
                  <c:v>0.98590933663163149</c:v>
                </c:pt>
                <c:pt idx="108">
                  <c:v>0.98491479524444459</c:v>
                </c:pt>
                <c:pt idx="109">
                  <c:v>0.98340235198292891</c:v>
                </c:pt>
                <c:pt idx="110">
                  <c:v>0.98293445994815987</c:v>
                </c:pt>
                <c:pt idx="111">
                  <c:v>0.98156837073403647</c:v>
                </c:pt>
                <c:pt idx="112">
                  <c:v>0.97981121235737867</c:v>
                </c:pt>
                <c:pt idx="113">
                  <c:v>0.97851664895618873</c:v>
                </c:pt>
                <c:pt idx="114">
                  <c:v>0.97713077569320339</c:v>
                </c:pt>
                <c:pt idx="115">
                  <c:v>0.97551069310124228</c:v>
                </c:pt>
                <c:pt idx="116">
                  <c:v>0.97401389150116813</c:v>
                </c:pt>
                <c:pt idx="117">
                  <c:v>0.97110280196481236</c:v>
                </c:pt>
                <c:pt idx="118">
                  <c:v>0.96913011779182001</c:v>
                </c:pt>
                <c:pt idx="119">
                  <c:v>0.96718979478561684</c:v>
                </c:pt>
                <c:pt idx="120">
                  <c:v>0.9642412550015268</c:v>
                </c:pt>
                <c:pt idx="121">
                  <c:v>0.96256483600421805</c:v>
                </c:pt>
                <c:pt idx="122">
                  <c:v>0.96004757597716295</c:v>
                </c:pt>
                <c:pt idx="123">
                  <c:v>0.95762228465635391</c:v>
                </c:pt>
                <c:pt idx="124">
                  <c:v>0.95602800542898014</c:v>
                </c:pt>
                <c:pt idx="125">
                  <c:v>0.95271770857222804</c:v>
                </c:pt>
                <c:pt idx="126">
                  <c:v>0.95059741911634232</c:v>
                </c:pt>
                <c:pt idx="127">
                  <c:v>0.94854109119468022</c:v>
                </c:pt>
                <c:pt idx="128">
                  <c:v>0.94743585460763491</c:v>
                </c:pt>
                <c:pt idx="129">
                  <c:v>0.94332588855300881</c:v>
                </c:pt>
                <c:pt idx="130">
                  <c:v>0.94032444824056627</c:v>
                </c:pt>
                <c:pt idx="131">
                  <c:v>0.93925716351768185</c:v>
                </c:pt>
                <c:pt idx="132">
                  <c:v>0.93522852015052071</c:v>
                </c:pt>
                <c:pt idx="133">
                  <c:v>0.9307410907642244</c:v>
                </c:pt>
                <c:pt idx="134">
                  <c:v>0.92715657433282284</c:v>
                </c:pt>
                <c:pt idx="135">
                  <c:v>0.92423998441114852</c:v>
                </c:pt>
                <c:pt idx="136">
                  <c:v>0.92573142115418516</c:v>
                </c:pt>
                <c:pt idx="137">
                  <c:v>0.91308206820179427</c:v>
                </c:pt>
                <c:pt idx="138">
                  <c:v>0.9134133090558495</c:v>
                </c:pt>
                <c:pt idx="139">
                  <c:v>0.92234760937456861</c:v>
                </c:pt>
                <c:pt idx="140">
                  <c:v>0.90528372008704572</c:v>
                </c:pt>
                <c:pt idx="141">
                  <c:v>0.90994659259733901</c:v>
                </c:pt>
                <c:pt idx="142">
                  <c:v>0.90188938380485384</c:v>
                </c:pt>
                <c:pt idx="143">
                  <c:v>0.92182725949898681</c:v>
                </c:pt>
                <c:pt idx="144">
                  <c:v>0.84400537330334657</c:v>
                </c:pt>
                <c:pt idx="145">
                  <c:v>-0.85017886999716896</c:v>
                </c:pt>
                <c:pt idx="146">
                  <c:v>0.85090352663162538</c:v>
                </c:pt>
                <c:pt idx="147">
                  <c:v>0.65915968611075149</c:v>
                </c:pt>
                <c:pt idx="148">
                  <c:v>-0.99977161025939876</c:v>
                </c:pt>
                <c:pt idx="149">
                  <c:v>-0.65002129338616732</c:v>
                </c:pt>
                <c:pt idx="150">
                  <c:v>0.98866365612606666</c:v>
                </c:pt>
                <c:pt idx="151">
                  <c:v>0.31273968475904179</c:v>
                </c:pt>
                <c:pt idx="152">
                  <c:v>0.9999950951504063</c:v>
                </c:pt>
                <c:pt idx="153">
                  <c:v>-0.47637333087385314</c:v>
                </c:pt>
                <c:pt idx="154">
                  <c:v>0.99963245123396227</c:v>
                </c:pt>
                <c:pt idx="155">
                  <c:v>-0.99991487626345688</c:v>
                </c:pt>
                <c:pt idx="156">
                  <c:v>-0.85192578840114885</c:v>
                </c:pt>
                <c:pt idx="157">
                  <c:v>0.43791067539783018</c:v>
                </c:pt>
                <c:pt idx="158">
                  <c:v>0.99981707094779282</c:v>
                </c:pt>
                <c:pt idx="159">
                  <c:v>-0.53954883521793418</c:v>
                </c:pt>
                <c:pt idx="160">
                  <c:v>0.65971564019532658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EA-49DE-8822-688BE3C0B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861824"/>
        <c:axId val="1865863264"/>
      </c:lineChart>
      <c:catAx>
        <c:axId val="1865861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65863264"/>
        <c:crosses val="autoZero"/>
        <c:auto val="1"/>
        <c:lblAlgn val="ctr"/>
        <c:lblOffset val="100"/>
        <c:noMultiLvlLbl val="0"/>
      </c:catAx>
      <c:valAx>
        <c:axId val="186586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6586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1238250</xdr:colOff>
      <xdr:row>132</xdr:row>
      <xdr:rowOff>158750</xdr:rowOff>
    </xdr:from>
    <xdr:to>
      <xdr:col>6</xdr:col>
      <xdr:colOff>1117600</xdr:colOff>
      <xdr:row>150</xdr:row>
      <xdr:rowOff>165100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C0BDDE8-C91B-47B2-BE3F-9939A243A3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223155</xdr:colOff>
      <xdr:row>11</xdr:row>
      <xdr:rowOff>103412</xdr:rowOff>
    </xdr:from>
    <xdr:to>
      <xdr:col>8</xdr:col>
      <xdr:colOff>620484</xdr:colOff>
      <xdr:row>30</xdr:row>
      <xdr:rowOff>48985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15F53FE-9A4A-1D45-59CF-4BF68B702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1377041</xdr:colOff>
      <xdr:row>3</xdr:row>
      <xdr:rowOff>27213</xdr:rowOff>
    </xdr:from>
    <xdr:to>
      <xdr:col>11</xdr:col>
      <xdr:colOff>103415</xdr:colOff>
      <xdr:row>21</xdr:row>
      <xdr:rowOff>65314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2B3B878A-76EB-844B-8998-5701E9105D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130627</xdr:colOff>
      <xdr:row>10</xdr:row>
      <xdr:rowOff>16327</xdr:rowOff>
    </xdr:from>
    <xdr:to>
      <xdr:col>14</xdr:col>
      <xdr:colOff>103413</xdr:colOff>
      <xdr:row>26</xdr:row>
      <xdr:rowOff>97971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91736629-608F-108E-54F1-9BB4DBC216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778326</xdr:colOff>
      <xdr:row>8</xdr:row>
      <xdr:rowOff>119743</xdr:rowOff>
    </xdr:from>
    <xdr:to>
      <xdr:col>10</xdr:col>
      <xdr:colOff>734784</xdr:colOff>
      <xdr:row>22</xdr:row>
      <xdr:rowOff>119743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EEB9C71E-AB88-9663-CA69-BB7CD2853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2035627</xdr:colOff>
      <xdr:row>12</xdr:row>
      <xdr:rowOff>168729</xdr:rowOff>
    </xdr:from>
    <xdr:to>
      <xdr:col>12</xdr:col>
      <xdr:colOff>832756</xdr:colOff>
      <xdr:row>29</xdr:row>
      <xdr:rowOff>190499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735E2AC6-4F21-56F8-3BEF-07F4900DB0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925285</xdr:colOff>
      <xdr:row>14</xdr:row>
      <xdr:rowOff>48984</xdr:rowOff>
    </xdr:from>
    <xdr:to>
      <xdr:col>10</xdr:col>
      <xdr:colOff>315685</xdr:colOff>
      <xdr:row>28</xdr:row>
      <xdr:rowOff>48984</xdr:rowOff>
    </xdr:to>
    <xdr:graphicFrame macro="">
      <xdr:nvGraphicFramePr>
        <xdr:cNvPr id="10" name="圖表 9">
          <a:extLst>
            <a:ext uri="{FF2B5EF4-FFF2-40B4-BE49-F238E27FC236}">
              <a16:creationId xmlns:a16="http://schemas.microsoft.com/office/drawing/2014/main" id="{0101A3EA-ABED-C087-85A5-4DE86EC1C1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391886</xdr:colOff>
      <xdr:row>5</xdr:row>
      <xdr:rowOff>38101</xdr:rowOff>
    </xdr:from>
    <xdr:to>
      <xdr:col>20</xdr:col>
      <xdr:colOff>27215</xdr:colOff>
      <xdr:row>23</xdr:row>
      <xdr:rowOff>43542</xdr:rowOff>
    </xdr:to>
    <xdr:graphicFrame macro="">
      <xdr:nvGraphicFramePr>
        <xdr:cNvPr id="11" name="圖表 10">
          <a:extLst>
            <a:ext uri="{FF2B5EF4-FFF2-40B4-BE49-F238E27FC236}">
              <a16:creationId xmlns:a16="http://schemas.microsoft.com/office/drawing/2014/main" id="{21206419-B673-896D-4E9E-215E334DE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48983</xdr:colOff>
      <xdr:row>17</xdr:row>
      <xdr:rowOff>190500</xdr:rowOff>
    </xdr:from>
    <xdr:to>
      <xdr:col>23</xdr:col>
      <xdr:colOff>255813</xdr:colOff>
      <xdr:row>36</xdr:row>
      <xdr:rowOff>108857</xdr:rowOff>
    </xdr:to>
    <xdr:graphicFrame macro="">
      <xdr:nvGraphicFramePr>
        <xdr:cNvPr id="12" name="圖表 11">
          <a:extLst>
            <a:ext uri="{FF2B5EF4-FFF2-40B4-BE49-F238E27FC236}">
              <a16:creationId xmlns:a16="http://schemas.microsoft.com/office/drawing/2014/main" id="{775295F2-4705-B554-C845-C9074EBA18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538842</xdr:colOff>
      <xdr:row>9</xdr:row>
      <xdr:rowOff>92528</xdr:rowOff>
    </xdr:from>
    <xdr:to>
      <xdr:col>9</xdr:col>
      <xdr:colOff>2520042</xdr:colOff>
      <xdr:row>23</xdr:row>
      <xdr:rowOff>92528</xdr:rowOff>
    </xdr:to>
    <xdr:graphicFrame macro="">
      <xdr:nvGraphicFramePr>
        <xdr:cNvPr id="13" name="圖表 12">
          <a:extLst>
            <a:ext uri="{FF2B5EF4-FFF2-40B4-BE49-F238E27FC236}">
              <a16:creationId xmlns:a16="http://schemas.microsoft.com/office/drawing/2014/main" id="{D72FEF78-65E6-A3BD-12B0-E175A050EA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1110343</xdr:colOff>
      <xdr:row>16</xdr:row>
      <xdr:rowOff>21771</xdr:rowOff>
    </xdr:from>
    <xdr:to>
      <xdr:col>8</xdr:col>
      <xdr:colOff>1763486</xdr:colOff>
      <xdr:row>30</xdr:row>
      <xdr:rowOff>21771</xdr:rowOff>
    </xdr:to>
    <xdr:graphicFrame macro="">
      <xdr:nvGraphicFramePr>
        <xdr:cNvPr id="14" name="圖表 13">
          <a:extLst>
            <a:ext uri="{FF2B5EF4-FFF2-40B4-BE49-F238E27FC236}">
              <a16:creationId xmlns:a16="http://schemas.microsoft.com/office/drawing/2014/main" id="{6EE0A3D3-7F6D-0BAD-9742-398763BAF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1284513</xdr:colOff>
      <xdr:row>0</xdr:row>
      <xdr:rowOff>0</xdr:rowOff>
    </xdr:from>
    <xdr:to>
      <xdr:col>13</xdr:col>
      <xdr:colOff>136070</xdr:colOff>
      <xdr:row>14</xdr:row>
      <xdr:rowOff>0</xdr:rowOff>
    </xdr:to>
    <xdr:graphicFrame macro="">
      <xdr:nvGraphicFramePr>
        <xdr:cNvPr id="16" name="圖表 15">
          <a:extLst>
            <a:ext uri="{FF2B5EF4-FFF2-40B4-BE49-F238E27FC236}">
              <a16:creationId xmlns:a16="http://schemas.microsoft.com/office/drawing/2014/main" id="{E82220F5-3E36-5F3C-F9B2-17CCD88FB1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63"/>
  <sheetViews>
    <sheetView tabSelected="1" zoomScaleNormal="100" workbookViewId="0">
      <selection activeCell="S1" sqref="S1:S1048576"/>
    </sheetView>
  </sheetViews>
  <sheetFormatPr defaultRowHeight="15.45" x14ac:dyDescent="0.4"/>
  <cols>
    <col min="1" max="1" width="14.6640625" customWidth="1"/>
    <col min="2" max="2" width="22.6640625" customWidth="1"/>
    <col min="3" max="3" width="19.6640625" customWidth="1"/>
    <col min="4" max="4" width="16.6640625" customWidth="1"/>
    <col min="5" max="5" width="22.6640625" customWidth="1"/>
    <col min="6" max="6" width="19.6640625" customWidth="1"/>
    <col min="7" max="7" width="20.6640625" customWidth="1"/>
    <col min="8" max="8" width="19.6640625" customWidth="1"/>
    <col min="9" max="10" width="39.6640625" customWidth="1"/>
    <col min="11" max="11" width="21.9140625" bestFit="1" customWidth="1"/>
    <col min="12" max="12" width="12.58203125" bestFit="1" customWidth="1"/>
    <col min="13" max="13" width="13.4140625" bestFit="1" customWidth="1"/>
    <col min="16" max="16" width="13.08203125" bestFit="1" customWidth="1"/>
    <col min="17" max="17" width="13.08203125" customWidth="1"/>
    <col min="18" max="18" width="6.83203125" bestFit="1" customWidth="1"/>
    <col min="19" max="19" width="9.33203125" bestFit="1" customWidth="1"/>
    <col min="20" max="20" width="14.9140625" bestFit="1" customWidth="1"/>
    <col min="21" max="21" width="14.9140625" customWidth="1"/>
    <col min="24" max="24" width="23.1640625" bestFit="1" customWidth="1"/>
    <col min="25" max="25" width="33.1640625" bestFit="1" customWidth="1"/>
    <col min="26" max="26" width="14.9140625" bestFit="1" customWidth="1"/>
    <col min="29" max="29" width="18.5" bestFit="1" customWidth="1"/>
    <col min="30" max="30" width="14.58203125" bestFit="1" customWidth="1"/>
    <col min="33" max="33" width="23.83203125" bestFit="1" customWidth="1"/>
    <col min="34" max="34" width="14.58203125" bestFit="1" customWidth="1"/>
    <col min="37" max="37" width="23.1640625" bestFit="1" customWidth="1"/>
  </cols>
  <sheetData>
    <row r="1" spans="1:37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496</v>
      </c>
      <c r="L1" s="2" t="s">
        <v>494</v>
      </c>
      <c r="M1" s="2" t="s">
        <v>495</v>
      </c>
      <c r="N1" s="4" t="s">
        <v>497</v>
      </c>
      <c r="O1" s="5" t="s">
        <v>498</v>
      </c>
      <c r="P1" s="5" t="s">
        <v>511</v>
      </c>
      <c r="Q1" s="5" t="s">
        <v>512</v>
      </c>
      <c r="R1" s="4" t="s">
        <v>497</v>
      </c>
      <c r="S1" s="5" t="s">
        <v>506</v>
      </c>
      <c r="T1" s="4" t="s">
        <v>499</v>
      </c>
      <c r="U1" s="4" t="s">
        <v>508</v>
      </c>
      <c r="V1" s="4" t="s">
        <v>500</v>
      </c>
      <c r="X1" s="1" t="s">
        <v>505</v>
      </c>
      <c r="Y1" s="1" t="s">
        <v>507</v>
      </c>
      <c r="Z1" s="4" t="s">
        <v>501</v>
      </c>
      <c r="AA1" s="4" t="s">
        <v>500</v>
      </c>
      <c r="AC1" s="1" t="s">
        <v>504</v>
      </c>
      <c r="AD1" s="4" t="s">
        <v>502</v>
      </c>
      <c r="AE1" s="4" t="s">
        <v>500</v>
      </c>
      <c r="AG1" s="1" t="s">
        <v>510</v>
      </c>
      <c r="AH1" s="4" t="s">
        <v>503</v>
      </c>
      <c r="AI1" s="4" t="s">
        <v>500</v>
      </c>
      <c r="AK1" s="1" t="s">
        <v>509</v>
      </c>
    </row>
    <row r="2" spans="1:37" x14ac:dyDescent="0.4">
      <c r="A2" t="s">
        <v>10</v>
      </c>
      <c r="B2">
        <v>13.38776562588998</v>
      </c>
      <c r="C2">
        <v>890.11540968797533</v>
      </c>
      <c r="D2" t="s">
        <v>171</v>
      </c>
      <c r="E2">
        <v>-3.4710337757834289</v>
      </c>
      <c r="F2">
        <v>936.58479635771187</v>
      </c>
      <c r="G2">
        <v>0.13254947274277001</v>
      </c>
      <c r="H2">
        <v>888.34086841305987</v>
      </c>
      <c r="I2" t="s">
        <v>172</v>
      </c>
      <c r="J2" t="s">
        <v>333</v>
      </c>
      <c r="L2">
        <v>912.87455445215642</v>
      </c>
      <c r="M2">
        <v>6.8308871500087811</v>
      </c>
      <c r="N2">
        <v>-2.0750000000000002</v>
      </c>
      <c r="O2">
        <f>M2-B2</f>
        <v>-6.5568784758811987</v>
      </c>
      <c r="P2">
        <f>ATAN2(N2,O2)-PI()/2</f>
        <v>-3.4480825496757306</v>
      </c>
      <c r="Q2">
        <f>P2*180/PI()</f>
        <v>-197.56057750912737</v>
      </c>
      <c r="R2">
        <v>-2.0750000000000002</v>
      </c>
      <c r="S2">
        <f>COS(P2)</f>
        <v>-0.95339848843694053</v>
      </c>
      <c r="T2">
        <v>9.0570848952867813</v>
      </c>
      <c r="U2">
        <f>T2/S2</f>
        <v>-9.4997894428546008</v>
      </c>
      <c r="V2">
        <v>0</v>
      </c>
      <c r="W2">
        <v>0</v>
      </c>
      <c r="X2">
        <v>1981.4840585734139</v>
      </c>
      <c r="Y2">
        <f>X2/S2</f>
        <v>-2078.3377387371143</v>
      </c>
      <c r="Z2">
        <v>0.52262510509223237</v>
      </c>
      <c r="AA2">
        <v>0</v>
      </c>
      <c r="AB2">
        <v>0</v>
      </c>
      <c r="AC2">
        <v>0</v>
      </c>
      <c r="AD2">
        <v>2.5239339839019399E-3</v>
      </c>
      <c r="AE2">
        <v>0</v>
      </c>
      <c r="AF2">
        <v>0</v>
      </c>
      <c r="AG2">
        <v>0</v>
      </c>
      <c r="AH2">
        <v>1.6879551543456551E-3</v>
      </c>
      <c r="AI2">
        <v>0</v>
      </c>
      <c r="AJ2">
        <v>0</v>
      </c>
      <c r="AK2">
        <v>0</v>
      </c>
    </row>
    <row r="3" spans="1:37" x14ac:dyDescent="0.4">
      <c r="A3" t="s">
        <v>11</v>
      </c>
      <c r="B3">
        <v>-65.060171345659754</v>
      </c>
      <c r="C3">
        <v>878.82188730235146</v>
      </c>
      <c r="D3" t="s">
        <v>171</v>
      </c>
      <c r="E3">
        <v>0.69347299829084486</v>
      </c>
      <c r="F3">
        <v>923.93935939474227</v>
      </c>
      <c r="G3">
        <v>0.1474586649471977</v>
      </c>
      <c r="H3">
        <v>888.41557331021841</v>
      </c>
      <c r="I3" t="s">
        <v>173</v>
      </c>
      <c r="J3" t="s">
        <v>334</v>
      </c>
      <c r="L3">
        <v>908.06957641644078</v>
      </c>
      <c r="M3">
        <v>-22.884499589110359</v>
      </c>
      <c r="N3">
        <v>-2.0499999999999998</v>
      </c>
      <c r="O3">
        <f t="shared" ref="O3:O66" si="0">M3-B3</f>
        <v>42.175671756549391</v>
      </c>
      <c r="P3">
        <f t="shared" ref="P3:P66" si="1">ATAN2(N3,O3)-PI()/2</f>
        <v>4.8567996196494878E-2</v>
      </c>
      <c r="Q3">
        <f t="shared" ref="Q3:Q66" si="2">P3*180/PI()</f>
        <v>2.7827412014665915</v>
      </c>
      <c r="R3">
        <v>-2.0499999999999998</v>
      </c>
      <c r="S3">
        <f t="shared" ref="S3:S66" si="3">COS(P3)</f>
        <v>0.99882080669510531</v>
      </c>
      <c r="T3">
        <v>11.42216851367205</v>
      </c>
      <c r="U3">
        <f t="shared" ref="U3:U66" si="4">T3/S3</f>
        <v>11.435653359550729</v>
      </c>
      <c r="V3">
        <v>2.5000000000000001E-2</v>
      </c>
      <c r="W3">
        <v>2.5000000000000001E-2</v>
      </c>
      <c r="X3">
        <v>2127.5081851908099</v>
      </c>
      <c r="Y3">
        <f t="shared" ref="Y3:Y66" si="5">X3/S3</f>
        <v>2130.0198903848441</v>
      </c>
      <c r="Z3">
        <v>0.85329121035196909</v>
      </c>
      <c r="AA3">
        <v>2.5000000000000001E-2</v>
      </c>
      <c r="AB3">
        <v>2.5000000000000001E-2</v>
      </c>
      <c r="AC3">
        <v>140.60184772731799</v>
      </c>
      <c r="AD3">
        <v>2.7645354226230778E-3</v>
      </c>
      <c r="AE3">
        <v>2.5000000000000001E-2</v>
      </c>
      <c r="AF3">
        <v>2.5000000000000001E-2</v>
      </c>
      <c r="AG3">
        <v>0</v>
      </c>
      <c r="AH3">
        <v>144.1286093686854</v>
      </c>
      <c r="AI3">
        <v>2.5000000000000001E-2</v>
      </c>
      <c r="AJ3">
        <v>2.5000000000000001E-2</v>
      </c>
      <c r="AK3">
        <v>0</v>
      </c>
    </row>
    <row r="4" spans="1:37" x14ac:dyDescent="0.4">
      <c r="A4" t="s">
        <v>12</v>
      </c>
      <c r="B4">
        <v>-36.5424159296388</v>
      </c>
      <c r="C4">
        <v>883.18810862809164</v>
      </c>
      <c r="D4" t="s">
        <v>171</v>
      </c>
      <c r="E4">
        <v>1.10392072712752</v>
      </c>
      <c r="F4">
        <v>923.52803899213473</v>
      </c>
      <c r="G4">
        <v>0.1493568089023817</v>
      </c>
      <c r="H4">
        <v>888.645967260926</v>
      </c>
      <c r="I4" t="s">
        <v>174</v>
      </c>
      <c r="J4" t="s">
        <v>335</v>
      </c>
      <c r="L4">
        <v>909.75213486400742</v>
      </c>
      <c r="M4">
        <v>-12.47906701294076</v>
      </c>
      <c r="N4">
        <v>-2.0249999999999999</v>
      </c>
      <c r="O4">
        <f t="shared" si="0"/>
        <v>24.06334891669804</v>
      </c>
      <c r="P4">
        <f t="shared" si="1"/>
        <v>8.395506643584838E-2</v>
      </c>
      <c r="Q4">
        <f t="shared" si="2"/>
        <v>4.8102709755145474</v>
      </c>
      <c r="R4">
        <v>-2.0249999999999999</v>
      </c>
      <c r="S4">
        <f t="shared" si="3"/>
        <v>0.99647784295243036</v>
      </c>
      <c r="T4">
        <v>11.042301921036101</v>
      </c>
      <c r="U4">
        <f t="shared" si="4"/>
        <v>11.081332113034485</v>
      </c>
      <c r="V4">
        <v>0.05</v>
      </c>
      <c r="W4">
        <v>0.05</v>
      </c>
      <c r="X4">
        <v>2324.2066012493178</v>
      </c>
      <c r="Y4">
        <f t="shared" si="5"/>
        <v>2332.4217569785646</v>
      </c>
      <c r="Z4">
        <v>0.45556044247889749</v>
      </c>
      <c r="AA4">
        <v>0.05</v>
      </c>
      <c r="AB4">
        <v>0.05</v>
      </c>
      <c r="AC4">
        <v>0</v>
      </c>
      <c r="AD4">
        <v>2.0239301637005429</v>
      </c>
      <c r="AE4">
        <v>0.05</v>
      </c>
      <c r="AF4">
        <v>0.05</v>
      </c>
      <c r="AG4">
        <v>0</v>
      </c>
      <c r="AH4">
        <v>3.551464703591448E-3</v>
      </c>
      <c r="AI4">
        <v>0.05</v>
      </c>
      <c r="AJ4">
        <v>0.05</v>
      </c>
      <c r="AK4">
        <v>0</v>
      </c>
    </row>
    <row r="5" spans="1:37" x14ac:dyDescent="0.4">
      <c r="A5" t="s">
        <v>13</v>
      </c>
      <c r="B5">
        <v>-51.097660663725676</v>
      </c>
      <c r="C5">
        <v>881.17048430029683</v>
      </c>
      <c r="D5" t="s">
        <v>171</v>
      </c>
      <c r="E5">
        <v>0.83038821989510692</v>
      </c>
      <c r="F5">
        <v>923.60137977965223</v>
      </c>
      <c r="G5">
        <v>0.15081356759896269</v>
      </c>
      <c r="H5">
        <v>888.87670480095449</v>
      </c>
      <c r="I5" t="s">
        <v>175</v>
      </c>
      <c r="J5" t="s">
        <v>336</v>
      </c>
      <c r="L5">
        <v>908.90897341360994</v>
      </c>
      <c r="M5">
        <v>-17.693423539827201</v>
      </c>
      <c r="N5">
        <v>-2</v>
      </c>
      <c r="O5">
        <f t="shared" si="0"/>
        <v>33.404237123898476</v>
      </c>
      <c r="P5">
        <f t="shared" si="1"/>
        <v>5.9801255069900083E-2</v>
      </c>
      <c r="Q5">
        <f t="shared" si="2"/>
        <v>3.4263595250905916</v>
      </c>
      <c r="R5">
        <v>-2</v>
      </c>
      <c r="S5">
        <f t="shared" si="3"/>
        <v>0.99821243776316737</v>
      </c>
      <c r="T5">
        <v>12.052207684346749</v>
      </c>
      <c r="U5">
        <f t="shared" si="4"/>
        <v>12.07379033600683</v>
      </c>
      <c r="V5">
        <v>7.4999999999999997E-2</v>
      </c>
      <c r="W5">
        <v>7.4999999999999997E-2</v>
      </c>
      <c r="X5">
        <v>3564.217605848944</v>
      </c>
      <c r="Y5">
        <f t="shared" si="5"/>
        <v>3570.6002760652623</v>
      </c>
      <c r="Z5">
        <v>0.90680083663902133</v>
      </c>
      <c r="AA5">
        <v>7.4999999999999997E-2</v>
      </c>
      <c r="AB5">
        <v>7.4999999999999997E-2</v>
      </c>
      <c r="AC5">
        <v>0</v>
      </c>
      <c r="AD5">
        <v>29.26465372528958</v>
      </c>
      <c r="AE5">
        <v>7.4999999999999997E-2</v>
      </c>
      <c r="AF5">
        <v>7.4999999999999997E-2</v>
      </c>
      <c r="AG5">
        <v>0</v>
      </c>
      <c r="AH5">
        <v>1.282491958305789</v>
      </c>
      <c r="AI5">
        <v>7.4999999999999997E-2</v>
      </c>
      <c r="AJ5">
        <v>7.4999999999999997E-2</v>
      </c>
      <c r="AK5">
        <v>0</v>
      </c>
    </row>
    <row r="6" spans="1:37" x14ac:dyDescent="0.4">
      <c r="A6" t="s">
        <v>14</v>
      </c>
      <c r="B6">
        <v>-176.93230828427949</v>
      </c>
      <c r="C6">
        <v>861.92099431621921</v>
      </c>
      <c r="D6" t="s">
        <v>171</v>
      </c>
      <c r="E6">
        <v>0.34622822660036989</v>
      </c>
      <c r="F6">
        <v>923.17995364179524</v>
      </c>
      <c r="G6">
        <v>0.15356146869781079</v>
      </c>
      <c r="H6">
        <v>889.09097943644701</v>
      </c>
      <c r="I6" t="s">
        <v>176</v>
      </c>
      <c r="J6" t="s">
        <v>337</v>
      </c>
      <c r="L6">
        <v>901.77157395192057</v>
      </c>
      <c r="M6">
        <v>-61.833185207664812</v>
      </c>
      <c r="N6">
        <v>-1.9750000000000001</v>
      </c>
      <c r="O6">
        <f t="shared" si="0"/>
        <v>115.09912307661467</v>
      </c>
      <c r="P6">
        <f t="shared" si="1"/>
        <v>1.7157439125041307E-2</v>
      </c>
      <c r="Q6">
        <f t="shared" si="2"/>
        <v>0.98304884911749879</v>
      </c>
      <c r="R6">
        <v>-1.9750000000000001</v>
      </c>
      <c r="S6">
        <f t="shared" si="3"/>
        <v>0.99985281475205989</v>
      </c>
      <c r="T6">
        <v>12.158157243330709</v>
      </c>
      <c r="U6">
        <f t="shared" si="4"/>
        <v>12.159947008146043</v>
      </c>
      <c r="V6">
        <v>0.1</v>
      </c>
      <c r="W6">
        <v>0.1</v>
      </c>
      <c r="X6">
        <v>3261.6274378293592</v>
      </c>
      <c r="Y6">
        <f t="shared" si="5"/>
        <v>3262.1075719411429</v>
      </c>
      <c r="Z6">
        <v>2.6095532983436529</v>
      </c>
      <c r="AA6">
        <v>0.1</v>
      </c>
      <c r="AB6">
        <v>0.1</v>
      </c>
      <c r="AC6">
        <v>19.281521259894411</v>
      </c>
      <c r="AD6">
        <v>1.091195194566646E-2</v>
      </c>
      <c r="AE6">
        <v>0.1</v>
      </c>
      <c r="AF6">
        <v>0.1</v>
      </c>
      <c r="AG6">
        <v>0</v>
      </c>
      <c r="AH6">
        <v>1.274999999999977</v>
      </c>
      <c r="AI6">
        <v>0.1</v>
      </c>
      <c r="AJ6">
        <v>0.1</v>
      </c>
      <c r="AK6">
        <v>0</v>
      </c>
    </row>
    <row r="7" spans="1:37" x14ac:dyDescent="0.4">
      <c r="A7" t="s">
        <v>15</v>
      </c>
      <c r="B7">
        <v>-14.82147710215061</v>
      </c>
      <c r="C7">
        <v>887.08864394915281</v>
      </c>
      <c r="D7" t="s">
        <v>171</v>
      </c>
      <c r="E7">
        <v>2.123870911205413</v>
      </c>
      <c r="F7">
        <v>918.56754802750766</v>
      </c>
      <c r="G7">
        <v>0.15192491946301079</v>
      </c>
      <c r="H7">
        <v>889.34039566421995</v>
      </c>
      <c r="I7" t="s">
        <v>177</v>
      </c>
      <c r="J7" t="s">
        <v>338</v>
      </c>
      <c r="L7">
        <v>911.20982277202143</v>
      </c>
      <c r="M7">
        <v>-3.4642994927557309</v>
      </c>
      <c r="N7">
        <v>-1.95</v>
      </c>
      <c r="O7">
        <f t="shared" si="0"/>
        <v>11.357177609394878</v>
      </c>
      <c r="P7">
        <f t="shared" si="1"/>
        <v>0.17003959856105566</v>
      </c>
      <c r="Q7">
        <f t="shared" si="2"/>
        <v>9.7425513476472752</v>
      </c>
      <c r="R7">
        <v>-1.95</v>
      </c>
      <c r="S7">
        <f t="shared" si="3"/>
        <v>0.98557806675926229</v>
      </c>
      <c r="T7">
        <v>12.797645152077569</v>
      </c>
      <c r="U7">
        <f t="shared" si="4"/>
        <v>12.984912696117787</v>
      </c>
      <c r="V7">
        <v>0.125</v>
      </c>
      <c r="W7">
        <v>0.125</v>
      </c>
      <c r="X7">
        <v>3306.418913016003</v>
      </c>
      <c r="Y7">
        <f t="shared" si="5"/>
        <v>3354.801638279183</v>
      </c>
      <c r="Z7">
        <v>0.568894056888956</v>
      </c>
      <c r="AA7">
        <v>0.125</v>
      </c>
      <c r="AB7">
        <v>0.125</v>
      </c>
      <c r="AC7">
        <v>67.080884905597841</v>
      </c>
      <c r="AD7">
        <v>2.7476998318420098E-2</v>
      </c>
      <c r="AE7">
        <v>0.125</v>
      </c>
      <c r="AF7">
        <v>0.125</v>
      </c>
      <c r="AG7">
        <v>0</v>
      </c>
      <c r="AH7">
        <v>1.224358479036792E-3</v>
      </c>
      <c r="AI7">
        <v>0.125</v>
      </c>
      <c r="AJ7">
        <v>0.125</v>
      </c>
      <c r="AK7">
        <v>0</v>
      </c>
    </row>
    <row r="8" spans="1:37" x14ac:dyDescent="0.4">
      <c r="A8" t="s">
        <v>16</v>
      </c>
      <c r="B8">
        <v>-163.1876351620748</v>
      </c>
      <c r="C8">
        <v>864.83585416444373</v>
      </c>
      <c r="D8" t="s">
        <v>171</v>
      </c>
      <c r="E8">
        <v>0.36384153648243528</v>
      </c>
      <c r="F8">
        <v>924.21029407674814</v>
      </c>
      <c r="G8">
        <v>0.15156054861730681</v>
      </c>
      <c r="H8">
        <v>889.56866167716873</v>
      </c>
      <c r="I8" t="s">
        <v>178</v>
      </c>
      <c r="J8" t="s">
        <v>339</v>
      </c>
      <c r="L8">
        <v>901.81860177597923</v>
      </c>
      <c r="M8">
        <v>-61.542351416331073</v>
      </c>
      <c r="N8">
        <v>-1.925</v>
      </c>
      <c r="O8">
        <f t="shared" si="0"/>
        <v>101.64528374574373</v>
      </c>
      <c r="P8">
        <f t="shared" si="1"/>
        <v>1.8936145743965849E-2</v>
      </c>
      <c r="Q8">
        <f t="shared" si="2"/>
        <v>1.0849612313738595</v>
      </c>
      <c r="R8">
        <v>-1.925</v>
      </c>
      <c r="S8">
        <f t="shared" si="3"/>
        <v>0.99982071654953042</v>
      </c>
      <c r="T8">
        <v>13.20270188875941</v>
      </c>
      <c r="U8">
        <f t="shared" si="4"/>
        <v>13.205069339154225</v>
      </c>
      <c r="V8">
        <v>0.15</v>
      </c>
      <c r="W8">
        <v>0.15</v>
      </c>
      <c r="X8">
        <v>2848.7530017007239</v>
      </c>
      <c r="Y8">
        <f t="shared" si="5"/>
        <v>2849.2638275510253</v>
      </c>
      <c r="Z8">
        <v>5.0045206847355743</v>
      </c>
      <c r="AA8">
        <v>0.15</v>
      </c>
      <c r="AB8">
        <v>0.15</v>
      </c>
      <c r="AC8">
        <v>222.00284247367111</v>
      </c>
      <c r="AD8">
        <v>5.9600769952162947E-3</v>
      </c>
      <c r="AE8">
        <v>0.15</v>
      </c>
      <c r="AF8">
        <v>0.15</v>
      </c>
      <c r="AG8">
        <v>0</v>
      </c>
      <c r="AH8">
        <v>1.2751376870154001</v>
      </c>
      <c r="AI8">
        <v>0.15</v>
      </c>
      <c r="AJ8">
        <v>0.15</v>
      </c>
      <c r="AK8">
        <v>0</v>
      </c>
    </row>
    <row r="9" spans="1:37" x14ac:dyDescent="0.4">
      <c r="A9" t="s">
        <v>17</v>
      </c>
      <c r="B9">
        <v>357.54277833900937</v>
      </c>
      <c r="C9">
        <v>943.6028884255461</v>
      </c>
      <c r="D9" t="s">
        <v>171</v>
      </c>
      <c r="E9">
        <v>5.6883625458174832E-2</v>
      </c>
      <c r="F9">
        <v>923.26455893723471</v>
      </c>
      <c r="G9">
        <v>0.15032715653549791</v>
      </c>
      <c r="H9">
        <v>889.85449921804104</v>
      </c>
      <c r="I9" t="s">
        <v>179</v>
      </c>
      <c r="J9" t="s">
        <v>340</v>
      </c>
      <c r="L9">
        <v>929.50269529747357</v>
      </c>
      <c r="M9">
        <v>109.6641638681115</v>
      </c>
      <c r="N9">
        <v>-1.9</v>
      </c>
      <c r="O9">
        <f t="shared" si="0"/>
        <v>-247.87861447089787</v>
      </c>
      <c r="P9">
        <f t="shared" si="1"/>
        <v>-3.1492575455177092</v>
      </c>
      <c r="Q9">
        <f t="shared" si="2"/>
        <v>-180.43916595789349</v>
      </c>
      <c r="R9">
        <v>-1.9</v>
      </c>
      <c r="S9">
        <f t="shared" si="3"/>
        <v>-0.99997062485968424</v>
      </c>
      <c r="T9">
        <v>13.79077172822744</v>
      </c>
      <c r="U9">
        <f t="shared" si="4"/>
        <v>-13.791176845982411</v>
      </c>
      <c r="V9">
        <v>0.17499999999999999</v>
      </c>
      <c r="W9">
        <v>0.17499999999999999</v>
      </c>
      <c r="X9">
        <v>4524.566643161781</v>
      </c>
      <c r="Y9">
        <f t="shared" si="5"/>
        <v>-4524.6995568461498</v>
      </c>
      <c r="Z9">
        <v>7.1353234447787708</v>
      </c>
      <c r="AA9">
        <v>0.17499999999999999</v>
      </c>
      <c r="AB9">
        <v>0.17499999999999999</v>
      </c>
      <c r="AC9">
        <v>229.8617826855083</v>
      </c>
      <c r="AD9">
        <v>1.6815021358780999</v>
      </c>
      <c r="AE9">
        <v>0.17499999999999999</v>
      </c>
      <c r="AF9">
        <v>0.17499999999999999</v>
      </c>
      <c r="AG9">
        <v>0</v>
      </c>
      <c r="AH9">
        <v>2.1572543170906588E-3</v>
      </c>
      <c r="AI9">
        <v>0.17499999999999999</v>
      </c>
      <c r="AJ9">
        <v>0.17499999999999999</v>
      </c>
      <c r="AK9">
        <v>0</v>
      </c>
    </row>
    <row r="10" spans="1:37" x14ac:dyDescent="0.4">
      <c r="A10" t="s">
        <v>18</v>
      </c>
      <c r="B10">
        <v>-3.3259712978022171</v>
      </c>
      <c r="C10">
        <v>889.63037127646828</v>
      </c>
      <c r="D10" t="s">
        <v>171</v>
      </c>
      <c r="E10">
        <v>7.5522585658884616</v>
      </c>
      <c r="F10">
        <v>914.74896650019423</v>
      </c>
      <c r="G10">
        <v>0.1524373817125039</v>
      </c>
      <c r="H10">
        <v>890.13737363275618</v>
      </c>
      <c r="I10" t="s">
        <v>180</v>
      </c>
      <c r="J10" t="s">
        <v>341</v>
      </c>
      <c r="L10">
        <v>911.70482239112084</v>
      </c>
      <c r="M10">
        <v>-0.40307735855975318</v>
      </c>
      <c r="N10">
        <v>-1.875</v>
      </c>
      <c r="O10">
        <f t="shared" si="0"/>
        <v>2.922893939242464</v>
      </c>
      <c r="P10">
        <f t="shared" si="1"/>
        <v>0.57036776037581483</v>
      </c>
      <c r="Q10">
        <f t="shared" si="2"/>
        <v>32.679665439863264</v>
      </c>
      <c r="R10">
        <v>-1.875</v>
      </c>
      <c r="S10">
        <f t="shared" si="3"/>
        <v>0.84170246294911599</v>
      </c>
      <c r="T10">
        <v>17.46952123866517</v>
      </c>
      <c r="U10">
        <f t="shared" si="4"/>
        <v>20.75498410383203</v>
      </c>
      <c r="V10">
        <v>0.2</v>
      </c>
      <c r="W10">
        <v>0.2</v>
      </c>
      <c r="X10">
        <v>4882.1654627827993</v>
      </c>
      <c r="Y10">
        <f t="shared" si="5"/>
        <v>5800.3459389638783</v>
      </c>
      <c r="Z10">
        <v>2.6254957576589719</v>
      </c>
      <c r="AA10">
        <v>0.2</v>
      </c>
      <c r="AB10">
        <v>0.2</v>
      </c>
      <c r="AC10">
        <v>2660.6498427471338</v>
      </c>
      <c r="AD10">
        <v>0.85586670252378394</v>
      </c>
      <c r="AE10">
        <v>0.2</v>
      </c>
      <c r="AF10">
        <v>0.2</v>
      </c>
      <c r="AG10">
        <v>0</v>
      </c>
      <c r="AH10">
        <v>61.742058943898073</v>
      </c>
      <c r="AI10">
        <v>0.2</v>
      </c>
      <c r="AJ10">
        <v>0.2</v>
      </c>
      <c r="AK10">
        <v>0</v>
      </c>
    </row>
    <row r="11" spans="1:37" x14ac:dyDescent="0.4">
      <c r="A11" t="s">
        <v>19</v>
      </c>
      <c r="B11">
        <v>-12.103359721177791</v>
      </c>
      <c r="C11">
        <v>888.60287463646591</v>
      </c>
      <c r="D11" t="s">
        <v>171</v>
      </c>
      <c r="E11">
        <v>2.6163694142980312</v>
      </c>
      <c r="F11">
        <v>920.26973482120218</v>
      </c>
      <c r="G11">
        <v>0.14875370398142779</v>
      </c>
      <c r="H11">
        <v>890.40329422561069</v>
      </c>
      <c r="I11" t="s">
        <v>181</v>
      </c>
      <c r="J11" t="s">
        <v>342</v>
      </c>
      <c r="L11">
        <v>911.21008452891203</v>
      </c>
      <c r="M11">
        <v>-3.4626807117375038</v>
      </c>
      <c r="N11">
        <v>-1.85</v>
      </c>
      <c r="O11">
        <f t="shared" si="0"/>
        <v>8.6406790094402872</v>
      </c>
      <c r="P11">
        <f t="shared" si="1"/>
        <v>0.21091915432518604</v>
      </c>
      <c r="Q11">
        <f t="shared" si="2"/>
        <v>12.084777361301644</v>
      </c>
      <c r="R11">
        <v>-1.85</v>
      </c>
      <c r="S11">
        <f t="shared" si="3"/>
        <v>0.97783889479048114</v>
      </c>
      <c r="T11">
        <v>16.223308864214591</v>
      </c>
      <c r="U11">
        <f t="shared" si="4"/>
        <v>16.590983392709813</v>
      </c>
      <c r="V11">
        <v>0.22500000000000001</v>
      </c>
      <c r="W11">
        <v>0.22500000000000001</v>
      </c>
      <c r="X11">
        <v>6006.2355305565716</v>
      </c>
      <c r="Y11">
        <f t="shared" si="5"/>
        <v>6142.3569491409025</v>
      </c>
      <c r="Z11">
        <v>9.5138251219654943</v>
      </c>
      <c r="AA11">
        <v>0.22500000000000001</v>
      </c>
      <c r="AB11">
        <v>0.22500000000000001</v>
      </c>
      <c r="AC11">
        <v>950.85557045935354</v>
      </c>
      <c r="AD11">
        <v>1.7579703667120401</v>
      </c>
      <c r="AE11">
        <v>0.22500000000000001</v>
      </c>
      <c r="AF11">
        <v>0.22500000000000001</v>
      </c>
      <c r="AG11">
        <v>117.5086764863246</v>
      </c>
      <c r="AH11">
        <v>7.5944720387255589E-4</v>
      </c>
      <c r="AI11">
        <v>0.22500000000000001</v>
      </c>
      <c r="AJ11">
        <v>0.22500000000000001</v>
      </c>
      <c r="AK11">
        <v>0</v>
      </c>
    </row>
    <row r="12" spans="1:37" x14ac:dyDescent="0.4">
      <c r="A12" t="s">
        <v>20</v>
      </c>
      <c r="B12">
        <v>-10.105540414729241</v>
      </c>
      <c r="C12">
        <v>889.23052037583022</v>
      </c>
      <c r="D12" t="s">
        <v>171</v>
      </c>
      <c r="E12">
        <v>3.2648516940945589</v>
      </c>
      <c r="F12">
        <v>922.22361111860005</v>
      </c>
      <c r="G12">
        <v>0.14402924936150641</v>
      </c>
      <c r="H12">
        <v>890.68601377615607</v>
      </c>
      <c r="I12" t="s">
        <v>182</v>
      </c>
      <c r="J12" t="s">
        <v>343</v>
      </c>
      <c r="L12">
        <v>911.22528001892908</v>
      </c>
      <c r="M12">
        <v>-3.368707365929875</v>
      </c>
      <c r="N12">
        <v>-1.825</v>
      </c>
      <c r="O12">
        <f t="shared" si="0"/>
        <v>6.7368330487993653</v>
      </c>
      <c r="P12">
        <f t="shared" si="1"/>
        <v>0.26454937590379446</v>
      </c>
      <c r="Q12">
        <f t="shared" si="2"/>
        <v>15.157562712107341</v>
      </c>
      <c r="R12">
        <v>-1.825</v>
      </c>
      <c r="S12">
        <f t="shared" si="3"/>
        <v>0.96521042551774194</v>
      </c>
      <c r="T12">
        <v>20.73579336389577</v>
      </c>
      <c r="U12">
        <f t="shared" si="4"/>
        <v>21.483184200764331</v>
      </c>
      <c r="V12">
        <v>0.25</v>
      </c>
      <c r="W12">
        <v>0.25</v>
      </c>
      <c r="X12">
        <v>6095.3309491461077</v>
      </c>
      <c r="Y12">
        <f t="shared" si="5"/>
        <v>6315.0280892133469</v>
      </c>
      <c r="Z12">
        <v>3.8312641737519111</v>
      </c>
      <c r="AA12">
        <v>0.25</v>
      </c>
      <c r="AB12">
        <v>0.25</v>
      </c>
      <c r="AC12">
        <v>4186.2989140959917</v>
      </c>
      <c r="AD12">
        <v>0.27438375320543662</v>
      </c>
      <c r="AE12">
        <v>0.25</v>
      </c>
      <c r="AF12">
        <v>0.25</v>
      </c>
      <c r="AG12">
        <v>0</v>
      </c>
      <c r="AH12">
        <v>2.2583575577838819E-3</v>
      </c>
      <c r="AI12">
        <v>0.25</v>
      </c>
      <c r="AJ12">
        <v>0.25</v>
      </c>
      <c r="AK12">
        <v>0</v>
      </c>
    </row>
    <row r="13" spans="1:37" x14ac:dyDescent="0.4">
      <c r="A13" t="s">
        <v>21</v>
      </c>
      <c r="B13">
        <v>-5.2890218372906667E-2</v>
      </c>
      <c r="C13">
        <v>890.96498612659161</v>
      </c>
      <c r="D13" t="s">
        <v>171</v>
      </c>
      <c r="E13">
        <v>14.063313868153561</v>
      </c>
      <c r="F13">
        <v>891.70879786812498</v>
      </c>
      <c r="G13">
        <v>0.1457268125149489</v>
      </c>
      <c r="H13">
        <v>890.97269364952831</v>
      </c>
      <c r="I13" t="s">
        <v>183</v>
      </c>
      <c r="J13" t="s">
        <v>344</v>
      </c>
      <c r="L13">
        <v>912.0033467440112</v>
      </c>
      <c r="M13">
        <v>1.4430843785476981</v>
      </c>
      <c r="N13">
        <v>-1.8</v>
      </c>
      <c r="O13">
        <f t="shared" si="0"/>
        <v>1.4959745969206049</v>
      </c>
      <c r="P13">
        <f t="shared" si="1"/>
        <v>0.87737930728538505</v>
      </c>
      <c r="Q13">
        <f t="shared" si="2"/>
        <v>50.270131339564323</v>
      </c>
      <c r="R13">
        <v>-1.8</v>
      </c>
      <c r="S13">
        <f t="shared" si="3"/>
        <v>0.63916882366586303</v>
      </c>
      <c r="T13">
        <v>21.437582990180388</v>
      </c>
      <c r="U13">
        <f t="shared" si="4"/>
        <v>33.539781973764214</v>
      </c>
      <c r="V13">
        <v>0.27500000000000002</v>
      </c>
      <c r="W13">
        <v>0.27500000000000002</v>
      </c>
      <c r="X13">
        <v>7159.3196609820588</v>
      </c>
      <c r="Y13">
        <f t="shared" si="5"/>
        <v>11200.983833849696</v>
      </c>
      <c r="Z13">
        <v>7.6789125940331244</v>
      </c>
      <c r="AA13">
        <v>0.27500000000000002</v>
      </c>
      <c r="AB13">
        <v>0.27500000000000002</v>
      </c>
      <c r="AC13">
        <v>3876.6933170888919</v>
      </c>
      <c r="AD13">
        <v>2.717802020235724</v>
      </c>
      <c r="AE13">
        <v>0.27500000000000002</v>
      </c>
      <c r="AF13">
        <v>0.27500000000000002</v>
      </c>
      <c r="AG13">
        <v>124.0811090586249</v>
      </c>
      <c r="AH13">
        <v>7.5749029288627086E-3</v>
      </c>
      <c r="AI13">
        <v>0.27500000000000002</v>
      </c>
      <c r="AJ13">
        <v>0.27500000000000002</v>
      </c>
      <c r="AK13">
        <v>0</v>
      </c>
    </row>
    <row r="14" spans="1:37" x14ac:dyDescent="0.4">
      <c r="A14" t="s">
        <v>22</v>
      </c>
      <c r="B14">
        <v>9.0966312545011103</v>
      </c>
      <c r="C14">
        <v>892.61994880747102</v>
      </c>
      <c r="D14" t="s">
        <v>171</v>
      </c>
      <c r="E14">
        <v>-5.9742685101765618</v>
      </c>
      <c r="F14">
        <v>946.96566645992493</v>
      </c>
      <c r="G14">
        <v>0.14968697963754321</v>
      </c>
      <c r="H14">
        <v>891.25830155010829</v>
      </c>
      <c r="I14" t="s">
        <v>184</v>
      </c>
      <c r="J14" t="s">
        <v>345</v>
      </c>
      <c r="L14">
        <v>912.69750455424401</v>
      </c>
      <c r="M14">
        <v>5.7359589007050191</v>
      </c>
      <c r="N14">
        <v>-1.7749999999999999</v>
      </c>
      <c r="O14">
        <f t="shared" si="0"/>
        <v>-3.3606723537960912</v>
      </c>
      <c r="P14">
        <f t="shared" si="1"/>
        <v>-3.6275199987724864</v>
      </c>
      <c r="Q14">
        <f t="shared" si="2"/>
        <v>-207.84158602896503</v>
      </c>
      <c r="R14">
        <v>-1.7749999999999999</v>
      </c>
      <c r="S14">
        <f t="shared" si="3"/>
        <v>-0.88424223269770097</v>
      </c>
      <c r="T14">
        <v>23.47221548574505</v>
      </c>
      <c r="U14">
        <f t="shared" si="4"/>
        <v>-26.545006128167575</v>
      </c>
      <c r="V14">
        <v>0.3</v>
      </c>
      <c r="W14">
        <v>0.3</v>
      </c>
      <c r="X14">
        <v>8677.1235206173787</v>
      </c>
      <c r="Y14">
        <f t="shared" si="5"/>
        <v>-9813.0616246915433</v>
      </c>
      <c r="Z14">
        <v>6.4341718897553939</v>
      </c>
      <c r="AA14">
        <v>0.3</v>
      </c>
      <c r="AB14">
        <v>0.3</v>
      </c>
      <c r="AC14">
        <v>9593.0226858443839</v>
      </c>
      <c r="AD14">
        <v>0.13644629306135339</v>
      </c>
      <c r="AE14">
        <v>0.3</v>
      </c>
      <c r="AF14">
        <v>0.3</v>
      </c>
      <c r="AG14">
        <v>146.47375185573131</v>
      </c>
      <c r="AH14">
        <v>3.3813744660324101</v>
      </c>
      <c r="AI14">
        <v>0.3</v>
      </c>
      <c r="AJ14">
        <v>0.3</v>
      </c>
      <c r="AK14">
        <v>0</v>
      </c>
    </row>
    <row r="15" spans="1:37" x14ac:dyDescent="0.4">
      <c r="A15" t="s">
        <v>23</v>
      </c>
      <c r="B15">
        <v>5.0381883683648381</v>
      </c>
      <c r="C15">
        <v>892.32297865596502</v>
      </c>
      <c r="D15" t="s">
        <v>171</v>
      </c>
      <c r="E15">
        <v>-15.14482262166544</v>
      </c>
      <c r="F15">
        <v>968.62544782938846</v>
      </c>
      <c r="G15">
        <v>0.14819223935117809</v>
      </c>
      <c r="H15">
        <v>891.57635823938392</v>
      </c>
      <c r="I15" t="s">
        <v>185</v>
      </c>
      <c r="J15" t="s">
        <v>346</v>
      </c>
      <c r="L15">
        <v>912.37062797681745</v>
      </c>
      <c r="M15">
        <v>3.7144587310913151</v>
      </c>
      <c r="N15">
        <v>-1.75</v>
      </c>
      <c r="O15">
        <f t="shared" si="0"/>
        <v>-1.323729637273523</v>
      </c>
      <c r="P15">
        <f t="shared" si="1"/>
        <v>-4.0647936664444329</v>
      </c>
      <c r="Q15">
        <f t="shared" si="2"/>
        <v>-232.89552167877372</v>
      </c>
      <c r="R15">
        <v>-1.75</v>
      </c>
      <c r="S15">
        <f t="shared" si="3"/>
        <v>-0.60327032621931753</v>
      </c>
      <c r="T15">
        <v>24.711511403415649</v>
      </c>
      <c r="U15">
        <f t="shared" si="4"/>
        <v>-40.962583984997522</v>
      </c>
      <c r="V15">
        <v>0.32500000000000001</v>
      </c>
      <c r="W15">
        <v>0.32500000000000001</v>
      </c>
      <c r="X15">
        <v>8753.2432880956949</v>
      </c>
      <c r="Y15">
        <f t="shared" si="5"/>
        <v>-14509.653314049254</v>
      </c>
      <c r="Z15">
        <v>6.3206888003211938</v>
      </c>
      <c r="AA15">
        <v>0.32500000000000001</v>
      </c>
      <c r="AB15">
        <v>0.32500000000000001</v>
      </c>
      <c r="AC15">
        <v>11359.12057247669</v>
      </c>
      <c r="AD15">
        <v>0.39812067009808638</v>
      </c>
      <c r="AE15">
        <v>0.32500000000000001</v>
      </c>
      <c r="AF15">
        <v>0.32500000000000001</v>
      </c>
      <c r="AG15">
        <v>1547.6680285575151</v>
      </c>
      <c r="AH15">
        <v>1.6794589543630799E-2</v>
      </c>
      <c r="AI15">
        <v>0.32500000000000001</v>
      </c>
      <c r="AJ15">
        <v>0.32500000000000001</v>
      </c>
      <c r="AK15">
        <v>0</v>
      </c>
    </row>
    <row r="16" spans="1:37" x14ac:dyDescent="0.4">
      <c r="A16" t="s">
        <v>24</v>
      </c>
      <c r="B16">
        <v>12.140176509332759</v>
      </c>
      <c r="C16">
        <v>893.63965255188759</v>
      </c>
      <c r="D16" t="s">
        <v>171</v>
      </c>
      <c r="E16">
        <v>-4.2099242441378664</v>
      </c>
      <c r="F16">
        <v>944.74887596664053</v>
      </c>
      <c r="G16">
        <v>0.1452446616979369</v>
      </c>
      <c r="H16">
        <v>891.87635672183626</v>
      </c>
      <c r="I16" t="s">
        <v>186</v>
      </c>
      <c r="J16" t="s">
        <v>347</v>
      </c>
      <c r="L16">
        <v>912.9898405556379</v>
      </c>
      <c r="M16">
        <v>7.543850065787912</v>
      </c>
      <c r="N16">
        <v>-1.7250000000000001</v>
      </c>
      <c r="O16">
        <f t="shared" si="0"/>
        <v>-4.5963264435448474</v>
      </c>
      <c r="P16">
        <f t="shared" si="1"/>
        <v>-3.5006260609788638</v>
      </c>
      <c r="Q16">
        <f t="shared" si="2"/>
        <v>-200.57109894759486</v>
      </c>
      <c r="R16">
        <v>-1.7250000000000001</v>
      </c>
      <c r="S16">
        <f t="shared" si="3"/>
        <v>-0.93623689209105287</v>
      </c>
      <c r="T16">
        <v>23.93821223735949</v>
      </c>
      <c r="U16">
        <f t="shared" si="4"/>
        <v>-25.568541935892227</v>
      </c>
      <c r="V16">
        <v>0.35</v>
      </c>
      <c r="W16">
        <v>0.35</v>
      </c>
      <c r="X16">
        <v>10151.2957022147</v>
      </c>
      <c r="Y16">
        <f t="shared" si="5"/>
        <v>-10842.657224863389</v>
      </c>
      <c r="Z16">
        <v>11.522934560231549</v>
      </c>
      <c r="AA16">
        <v>0.35</v>
      </c>
      <c r="AB16">
        <v>0.35</v>
      </c>
      <c r="AC16">
        <v>16490.415805290701</v>
      </c>
      <c r="AD16">
        <v>0.89913041722398146</v>
      </c>
      <c r="AE16">
        <v>0.35</v>
      </c>
      <c r="AF16">
        <v>0.35</v>
      </c>
      <c r="AG16">
        <v>443.57348876174848</v>
      </c>
      <c r="AH16">
        <v>1.6866348340213111</v>
      </c>
      <c r="AI16">
        <v>0.35</v>
      </c>
      <c r="AJ16">
        <v>0.35</v>
      </c>
      <c r="AK16">
        <v>0</v>
      </c>
    </row>
    <row r="17" spans="1:37" x14ac:dyDescent="0.4">
      <c r="A17" t="s">
        <v>25</v>
      </c>
      <c r="B17">
        <v>-4.8817781016196928</v>
      </c>
      <c r="C17">
        <v>891.43070595201925</v>
      </c>
      <c r="D17" t="s">
        <v>171</v>
      </c>
      <c r="E17">
        <v>5.2129050491867526</v>
      </c>
      <c r="F17">
        <v>916.87895166696183</v>
      </c>
      <c r="G17">
        <v>0.14876366381772471</v>
      </c>
      <c r="H17">
        <v>892.15693714836129</v>
      </c>
      <c r="I17" t="s">
        <v>187</v>
      </c>
      <c r="J17" t="s">
        <v>348</v>
      </c>
      <c r="L17">
        <v>911.60645139359815</v>
      </c>
      <c r="M17">
        <v>-1.0114323215945591</v>
      </c>
      <c r="N17">
        <v>-1.7</v>
      </c>
      <c r="O17">
        <f t="shared" si="0"/>
        <v>3.8703457800251337</v>
      </c>
      <c r="P17">
        <f t="shared" si="1"/>
        <v>0.41386765375776546</v>
      </c>
      <c r="Q17">
        <f t="shared" si="2"/>
        <v>23.712869837301625</v>
      </c>
      <c r="R17">
        <v>-1.7</v>
      </c>
      <c r="S17">
        <f t="shared" si="3"/>
        <v>0.91557228431496873</v>
      </c>
      <c r="T17">
        <v>23.243507391776891</v>
      </c>
      <c r="U17">
        <f t="shared" si="4"/>
        <v>25.386862173495874</v>
      </c>
      <c r="V17">
        <v>0.375</v>
      </c>
      <c r="W17">
        <v>0.375</v>
      </c>
      <c r="X17">
        <v>10698.24205785598</v>
      </c>
      <c r="Y17">
        <f t="shared" si="5"/>
        <v>11684.759620984383</v>
      </c>
      <c r="Z17">
        <v>14.02627370342173</v>
      </c>
      <c r="AA17">
        <v>0.375</v>
      </c>
      <c r="AB17">
        <v>0.375</v>
      </c>
      <c r="AC17">
        <v>14477.93646896775</v>
      </c>
      <c r="AD17">
        <v>6.4889538663762476</v>
      </c>
      <c r="AE17">
        <v>0.375</v>
      </c>
      <c r="AF17">
        <v>0.375</v>
      </c>
      <c r="AG17">
        <v>595.54774616615623</v>
      </c>
      <c r="AH17">
        <v>0.50011036953903532</v>
      </c>
      <c r="AI17">
        <v>0.375</v>
      </c>
      <c r="AJ17">
        <v>0.375</v>
      </c>
      <c r="AK17">
        <v>0</v>
      </c>
    </row>
    <row r="18" spans="1:37" x14ac:dyDescent="0.4">
      <c r="A18" t="s">
        <v>26</v>
      </c>
      <c r="B18">
        <v>-8.5049351830195405</v>
      </c>
      <c r="C18">
        <v>891.2597153464053</v>
      </c>
      <c r="D18" t="s">
        <v>171</v>
      </c>
      <c r="E18">
        <v>3.622639036335249</v>
      </c>
      <c r="F18">
        <v>922.07002554191297</v>
      </c>
      <c r="G18">
        <v>0.14400975187181381</v>
      </c>
      <c r="H18">
        <v>892.48450895179781</v>
      </c>
      <c r="I18" t="s">
        <v>188</v>
      </c>
      <c r="J18" t="s">
        <v>349</v>
      </c>
      <c r="L18">
        <v>911.28876811345128</v>
      </c>
      <c r="M18">
        <v>-2.9760784573203991</v>
      </c>
      <c r="N18">
        <v>-1.675</v>
      </c>
      <c r="O18">
        <f t="shared" si="0"/>
        <v>5.528856725699141</v>
      </c>
      <c r="P18">
        <f t="shared" si="1"/>
        <v>0.29416645716825229</v>
      </c>
      <c r="Q18">
        <f t="shared" si="2"/>
        <v>16.854496470056759</v>
      </c>
      <c r="R18">
        <v>-1.675</v>
      </c>
      <c r="S18">
        <f t="shared" si="3"/>
        <v>0.95704415402091636</v>
      </c>
      <c r="T18">
        <v>24.956409673615202</v>
      </c>
      <c r="U18">
        <f t="shared" si="4"/>
        <v>26.076549936346797</v>
      </c>
      <c r="V18">
        <v>0.4</v>
      </c>
      <c r="W18">
        <v>0.4</v>
      </c>
      <c r="X18">
        <v>11993.28826352782</v>
      </c>
      <c r="Y18">
        <f t="shared" si="5"/>
        <v>12531.593462160896</v>
      </c>
      <c r="Z18">
        <v>14.96826449025931</v>
      </c>
      <c r="AA18">
        <v>0.4</v>
      </c>
      <c r="AB18">
        <v>0.4</v>
      </c>
      <c r="AC18">
        <v>21727.280734433571</v>
      </c>
      <c r="AD18">
        <v>3.7534655088213289</v>
      </c>
      <c r="AE18">
        <v>0.4</v>
      </c>
      <c r="AF18">
        <v>0.4</v>
      </c>
      <c r="AG18">
        <v>4040.2431942467301</v>
      </c>
      <c r="AH18">
        <v>0.50009957201142763</v>
      </c>
      <c r="AI18">
        <v>0.4</v>
      </c>
      <c r="AJ18">
        <v>0.4</v>
      </c>
      <c r="AK18">
        <v>0</v>
      </c>
    </row>
    <row r="19" spans="1:37" x14ac:dyDescent="0.4">
      <c r="A19" t="s">
        <v>27</v>
      </c>
      <c r="B19">
        <v>11.234176420738731</v>
      </c>
      <c r="C19">
        <v>894.34175365875387</v>
      </c>
      <c r="D19" t="s">
        <v>171</v>
      </c>
      <c r="E19">
        <v>-4.9249622637413868</v>
      </c>
      <c r="F19">
        <v>949.6696485951054</v>
      </c>
      <c r="G19">
        <v>0.1438142239556354</v>
      </c>
      <c r="H19">
        <v>892.72611929502466</v>
      </c>
      <c r="I19" t="s">
        <v>189</v>
      </c>
      <c r="J19" t="s">
        <v>350</v>
      </c>
      <c r="L19">
        <v>912.97479269967221</v>
      </c>
      <c r="M19">
        <v>7.4507897320482606</v>
      </c>
      <c r="N19">
        <v>-1.65</v>
      </c>
      <c r="O19">
        <f t="shared" si="0"/>
        <v>-3.7833866886904701</v>
      </c>
      <c r="P19">
        <f t="shared" si="1"/>
        <v>-3.5528418587680779</v>
      </c>
      <c r="Q19">
        <f t="shared" si="2"/>
        <v>-203.56284378482533</v>
      </c>
      <c r="R19">
        <v>-1.65</v>
      </c>
      <c r="S19">
        <f t="shared" si="3"/>
        <v>-0.91662216251982764</v>
      </c>
      <c r="T19">
        <v>25.263791090134919</v>
      </c>
      <c r="U19">
        <f t="shared" si="4"/>
        <v>-27.56183749767062</v>
      </c>
      <c r="V19">
        <v>0.42499999999999999</v>
      </c>
      <c r="W19">
        <v>0.42499999999999999</v>
      </c>
      <c r="X19">
        <v>12223.8275047717</v>
      </c>
      <c r="Y19">
        <f t="shared" si="5"/>
        <v>-13335.732000160189</v>
      </c>
      <c r="Z19">
        <v>14.686031759640541</v>
      </c>
      <c r="AA19">
        <v>0.42499999999999999</v>
      </c>
      <c r="AB19">
        <v>0.42499999999999999</v>
      </c>
      <c r="AC19">
        <v>24370.10765507607</v>
      </c>
      <c r="AD19">
        <v>5.9234849314230118</v>
      </c>
      <c r="AE19">
        <v>0.42499999999999999</v>
      </c>
      <c r="AF19">
        <v>0.42499999999999999</v>
      </c>
      <c r="AG19">
        <v>4398.7831079356502</v>
      </c>
      <c r="AH19">
        <v>0.75570720313242457</v>
      </c>
      <c r="AI19">
        <v>0.42499999999999999</v>
      </c>
      <c r="AJ19">
        <v>0.42499999999999999</v>
      </c>
      <c r="AK19">
        <v>54.323018711759623</v>
      </c>
    </row>
    <row r="20" spans="1:37" x14ac:dyDescent="0.4">
      <c r="A20" t="s">
        <v>28</v>
      </c>
      <c r="B20">
        <v>-6.4085697142881139</v>
      </c>
      <c r="C20">
        <v>892.12733399981209</v>
      </c>
      <c r="D20" t="s">
        <v>171</v>
      </c>
      <c r="E20">
        <v>4.3079969205968913</v>
      </c>
      <c r="F20">
        <v>919.73543259439577</v>
      </c>
      <c r="G20">
        <v>0.14178291713403071</v>
      </c>
      <c r="H20">
        <v>893.03595970856065</v>
      </c>
      <c r="I20" t="s">
        <v>190</v>
      </c>
      <c r="J20" t="s">
        <v>351</v>
      </c>
      <c r="L20">
        <v>911.45935883847687</v>
      </c>
      <c r="M20">
        <v>-1.921095618572418</v>
      </c>
      <c r="N20">
        <v>-1.625</v>
      </c>
      <c r="O20">
        <f t="shared" si="0"/>
        <v>4.4874740957156956</v>
      </c>
      <c r="P20">
        <f t="shared" si="1"/>
        <v>0.34743027017555894</v>
      </c>
      <c r="Q20">
        <f t="shared" si="2"/>
        <v>19.906288156149447</v>
      </c>
      <c r="R20">
        <v>-1.625</v>
      </c>
      <c r="S20">
        <f t="shared" si="3"/>
        <v>0.94025076502265859</v>
      </c>
      <c r="T20">
        <v>27.554070254337329</v>
      </c>
      <c r="U20">
        <f t="shared" si="4"/>
        <v>29.305022957012238</v>
      </c>
      <c r="V20">
        <v>0.45</v>
      </c>
      <c r="W20">
        <v>0.45</v>
      </c>
      <c r="X20">
        <v>13532.28845096337</v>
      </c>
      <c r="Y20">
        <f t="shared" si="5"/>
        <v>14392.212114432326</v>
      </c>
      <c r="Z20">
        <v>17.693478435617941</v>
      </c>
      <c r="AA20">
        <v>0.45</v>
      </c>
      <c r="AB20">
        <v>0.45</v>
      </c>
      <c r="AC20">
        <v>24727.338071299899</v>
      </c>
      <c r="AD20">
        <v>4.9391768651752743</v>
      </c>
      <c r="AE20">
        <v>0.45</v>
      </c>
      <c r="AF20">
        <v>0.45</v>
      </c>
      <c r="AG20">
        <v>11102.93920763568</v>
      </c>
      <c r="AH20">
        <v>3.3275715936002319</v>
      </c>
      <c r="AI20">
        <v>0.45</v>
      </c>
      <c r="AJ20">
        <v>0.45</v>
      </c>
      <c r="AK20">
        <v>420.28784937925832</v>
      </c>
    </row>
    <row r="21" spans="1:37" x14ac:dyDescent="0.4">
      <c r="A21" t="s">
        <v>29</v>
      </c>
      <c r="B21">
        <v>-8.2835049747766121</v>
      </c>
      <c r="C21">
        <v>892.12808198956509</v>
      </c>
      <c r="D21" t="s">
        <v>171</v>
      </c>
      <c r="E21">
        <v>3.64681325736511</v>
      </c>
      <c r="F21">
        <v>922.33647774903022</v>
      </c>
      <c r="G21">
        <v>0.1423083360174304</v>
      </c>
      <c r="H21">
        <v>893.3068937989176</v>
      </c>
      <c r="I21" t="s">
        <v>191</v>
      </c>
      <c r="J21" t="s">
        <v>352</v>
      </c>
      <c r="L21">
        <v>911.27974344516235</v>
      </c>
      <c r="M21">
        <v>-3.0318896403072371</v>
      </c>
      <c r="N21">
        <v>-1.6</v>
      </c>
      <c r="O21">
        <f t="shared" si="0"/>
        <v>5.251615334469375</v>
      </c>
      <c r="P21">
        <f t="shared" si="1"/>
        <v>0.29573399186989269</v>
      </c>
      <c r="Q21">
        <f t="shared" si="2"/>
        <v>16.944309592701053</v>
      </c>
      <c r="R21">
        <v>-1.6</v>
      </c>
      <c r="S21">
        <f t="shared" si="3"/>
        <v>0.9565884839182045</v>
      </c>
      <c r="T21">
        <v>28.20823311069908</v>
      </c>
      <c r="U21">
        <f t="shared" si="4"/>
        <v>29.488367866564339</v>
      </c>
      <c r="V21">
        <v>0.47499999999999998</v>
      </c>
      <c r="W21">
        <v>0.47499999999999998</v>
      </c>
      <c r="X21">
        <v>13689.04901032134</v>
      </c>
      <c r="Y21">
        <f t="shared" si="5"/>
        <v>14310.279958891766</v>
      </c>
      <c r="Z21">
        <v>16.59309266945645</v>
      </c>
      <c r="AA21">
        <v>0.47499999999999998</v>
      </c>
      <c r="AB21">
        <v>0.47499999999999998</v>
      </c>
      <c r="AC21">
        <v>28320.66971728643</v>
      </c>
      <c r="AD21">
        <v>6.1317416753833207</v>
      </c>
      <c r="AE21">
        <v>0.47499999999999998</v>
      </c>
      <c r="AF21">
        <v>0.47499999999999998</v>
      </c>
      <c r="AG21">
        <v>9024.0968787422626</v>
      </c>
      <c r="AH21">
        <v>2.684116602213181</v>
      </c>
      <c r="AI21">
        <v>0.47499999999999998</v>
      </c>
      <c r="AJ21">
        <v>0.47499999999999998</v>
      </c>
      <c r="AK21">
        <v>1672.57659381854</v>
      </c>
    </row>
    <row r="22" spans="1:37" x14ac:dyDescent="0.4">
      <c r="A22" t="s">
        <v>30</v>
      </c>
      <c r="B22">
        <v>-5.4024482221661696</v>
      </c>
      <c r="C22">
        <v>892.812927351751</v>
      </c>
      <c r="D22" t="s">
        <v>171</v>
      </c>
      <c r="E22">
        <v>4.7905913946662606</v>
      </c>
      <c r="F22">
        <v>918.6938493149903</v>
      </c>
      <c r="G22">
        <v>0.14588194112431849</v>
      </c>
      <c r="H22">
        <v>893.60104698522423</v>
      </c>
      <c r="I22" t="s">
        <v>192</v>
      </c>
      <c r="J22" t="s">
        <v>353</v>
      </c>
      <c r="L22">
        <v>911.52813075242</v>
      </c>
      <c r="M22">
        <v>-1.4957900283242831</v>
      </c>
      <c r="N22">
        <v>-1.575</v>
      </c>
      <c r="O22">
        <f t="shared" si="0"/>
        <v>3.9066581938418867</v>
      </c>
      <c r="P22">
        <f t="shared" si="1"/>
        <v>0.38322571181358933</v>
      </c>
      <c r="Q22">
        <f t="shared" si="2"/>
        <v>21.95721588781544</v>
      </c>
      <c r="R22">
        <v>-1.575</v>
      </c>
      <c r="S22">
        <f t="shared" si="3"/>
        <v>0.92746332363716488</v>
      </c>
      <c r="T22">
        <v>30.331788007979291</v>
      </c>
      <c r="U22">
        <f t="shared" si="4"/>
        <v>32.704029620308155</v>
      </c>
      <c r="V22">
        <v>0.5</v>
      </c>
      <c r="W22">
        <v>0.5</v>
      </c>
      <c r="X22">
        <v>15454.83880365651</v>
      </c>
      <c r="Y22">
        <f t="shared" si="5"/>
        <v>16663.557910892265</v>
      </c>
      <c r="Z22">
        <v>17.85388559715329</v>
      </c>
      <c r="AA22">
        <v>0.5</v>
      </c>
      <c r="AB22">
        <v>0.5</v>
      </c>
      <c r="AC22">
        <v>27605.969440442252</v>
      </c>
      <c r="AD22">
        <v>6.3452662979072496</v>
      </c>
      <c r="AE22">
        <v>0.5</v>
      </c>
      <c r="AF22">
        <v>0.5</v>
      </c>
      <c r="AG22">
        <v>10929.821823808579</v>
      </c>
      <c r="AH22">
        <v>6.975206052680214</v>
      </c>
      <c r="AI22">
        <v>0.5</v>
      </c>
      <c r="AJ22">
        <v>0.5</v>
      </c>
      <c r="AK22">
        <v>424.07002305569841</v>
      </c>
    </row>
    <row r="23" spans="1:37" x14ac:dyDescent="0.4">
      <c r="A23" t="s">
        <v>31</v>
      </c>
      <c r="B23">
        <v>-5.6129864641557594</v>
      </c>
      <c r="C23">
        <v>893.15615638783004</v>
      </c>
      <c r="D23" t="s">
        <v>171</v>
      </c>
      <c r="E23">
        <v>4.6520104781968437</v>
      </c>
      <c r="F23">
        <v>919.26782823305973</v>
      </c>
      <c r="G23">
        <v>0.141239247548374</v>
      </c>
      <c r="H23">
        <v>893.94893037252666</v>
      </c>
      <c r="I23" t="s">
        <v>193</v>
      </c>
      <c r="J23" t="s">
        <v>354</v>
      </c>
      <c r="L23">
        <v>911.49999663996471</v>
      </c>
      <c r="M23">
        <v>-1.669779592054897</v>
      </c>
      <c r="N23">
        <v>-1.55</v>
      </c>
      <c r="O23">
        <f t="shared" si="0"/>
        <v>3.9432068721008626</v>
      </c>
      <c r="P23">
        <f t="shared" si="1"/>
        <v>0.37452759409362346</v>
      </c>
      <c r="Q23">
        <f t="shared" si="2"/>
        <v>21.458850452753442</v>
      </c>
      <c r="R23">
        <v>-1.55</v>
      </c>
      <c r="S23">
        <f t="shared" si="3"/>
        <v>0.93068054738250861</v>
      </c>
      <c r="T23">
        <v>31.76568822867889</v>
      </c>
      <c r="U23">
        <f t="shared" si="4"/>
        <v>34.131677424674088</v>
      </c>
      <c r="V23">
        <v>0.52500000000000002</v>
      </c>
      <c r="W23">
        <v>0.52500000000000002</v>
      </c>
      <c r="X23">
        <v>15520.0957343799</v>
      </c>
      <c r="Y23">
        <f t="shared" si="5"/>
        <v>16676.071911064839</v>
      </c>
      <c r="Z23">
        <v>19.197435671564062</v>
      </c>
      <c r="AA23">
        <v>0.52500000000000002</v>
      </c>
      <c r="AB23">
        <v>0.52500000000000002</v>
      </c>
      <c r="AC23">
        <v>34090.258318025662</v>
      </c>
      <c r="AD23">
        <v>9.657958714335523</v>
      </c>
      <c r="AE23">
        <v>0.52500000000000002</v>
      </c>
      <c r="AF23">
        <v>0.52500000000000002</v>
      </c>
      <c r="AG23">
        <v>20978.747711099059</v>
      </c>
      <c r="AH23">
        <v>2.100559584950485</v>
      </c>
      <c r="AI23">
        <v>0.52500000000000002</v>
      </c>
      <c r="AJ23">
        <v>0.52500000000000002</v>
      </c>
      <c r="AK23">
        <v>6322.7630415608292</v>
      </c>
    </row>
    <row r="24" spans="1:37" x14ac:dyDescent="0.4">
      <c r="A24" t="s">
        <v>32</v>
      </c>
      <c r="B24">
        <v>7.2214287315208177</v>
      </c>
      <c r="C24">
        <v>895.27002681823535</v>
      </c>
      <c r="D24" t="s">
        <v>171</v>
      </c>
      <c r="E24">
        <v>-9.436805005313774</v>
      </c>
      <c r="F24">
        <v>963.41724161736772</v>
      </c>
      <c r="G24">
        <v>0.1473682993458314</v>
      </c>
      <c r="H24">
        <v>894.20581714722402</v>
      </c>
      <c r="I24" t="s">
        <v>194</v>
      </c>
      <c r="J24" t="s">
        <v>355</v>
      </c>
      <c r="L24">
        <v>912.64006872751531</v>
      </c>
      <c r="M24">
        <v>5.3807589827790903</v>
      </c>
      <c r="N24">
        <v>-1.5249999999999999</v>
      </c>
      <c r="O24">
        <f t="shared" si="0"/>
        <v>-1.8406697487417274</v>
      </c>
      <c r="P24">
        <f t="shared" si="1"/>
        <v>-3.8334733291838203</v>
      </c>
      <c r="Q24">
        <f t="shared" si="2"/>
        <v>-219.6418426381978</v>
      </c>
      <c r="R24">
        <v>-1.5249999999999999</v>
      </c>
      <c r="S24">
        <f t="shared" si="3"/>
        <v>-0.77004753183419705</v>
      </c>
      <c r="T24">
        <v>34.223270371504157</v>
      </c>
      <c r="U24">
        <f t="shared" si="4"/>
        <v>-44.443062222388825</v>
      </c>
      <c r="V24">
        <v>0.55000000000000004</v>
      </c>
      <c r="W24">
        <v>0.55000000000000004</v>
      </c>
      <c r="X24">
        <v>18457.31773057325</v>
      </c>
      <c r="Y24">
        <f t="shared" si="5"/>
        <v>-23969.062905258932</v>
      </c>
      <c r="Z24">
        <v>20.17067307497048</v>
      </c>
      <c r="AA24">
        <v>0.55000000000000004</v>
      </c>
      <c r="AB24">
        <v>0.55000000000000004</v>
      </c>
      <c r="AC24">
        <v>34892.764296761401</v>
      </c>
      <c r="AD24">
        <v>10.366424298279</v>
      </c>
      <c r="AE24">
        <v>0.55000000000000004</v>
      </c>
      <c r="AF24">
        <v>0.55000000000000004</v>
      </c>
      <c r="AG24">
        <v>27044.68171713554</v>
      </c>
      <c r="AH24">
        <v>11.33075023433423</v>
      </c>
      <c r="AI24">
        <v>0.55000000000000004</v>
      </c>
      <c r="AJ24">
        <v>0.55000000000000004</v>
      </c>
      <c r="AK24">
        <v>876.02778733905086</v>
      </c>
    </row>
    <row r="25" spans="1:37" x14ac:dyDescent="0.4">
      <c r="A25" t="s">
        <v>33</v>
      </c>
      <c r="B25">
        <v>-4.9543692787782208</v>
      </c>
      <c r="C25">
        <v>893.73459790319816</v>
      </c>
      <c r="D25" t="s">
        <v>171</v>
      </c>
      <c r="E25">
        <v>4.9104148626894508</v>
      </c>
      <c r="F25">
        <v>918.06260644496274</v>
      </c>
      <c r="G25">
        <v>0.14465205042023269</v>
      </c>
      <c r="H25">
        <v>894.45125757791243</v>
      </c>
      <c r="I25" t="s">
        <v>195</v>
      </c>
      <c r="J25" t="s">
        <v>356</v>
      </c>
      <c r="L25">
        <v>911.55572847808298</v>
      </c>
      <c r="M25">
        <v>-1.325117637087081</v>
      </c>
      <c r="N25">
        <v>-1.5</v>
      </c>
      <c r="O25">
        <f t="shared" si="0"/>
        <v>3.6292516416911398</v>
      </c>
      <c r="P25">
        <f t="shared" si="1"/>
        <v>0.3919261855777969</v>
      </c>
      <c r="Q25">
        <f t="shared" si="2"/>
        <v>22.455716314268837</v>
      </c>
      <c r="R25">
        <v>-1.5</v>
      </c>
      <c r="S25">
        <f t="shared" si="3"/>
        <v>0.92417503107404542</v>
      </c>
      <c r="T25">
        <v>36.380390341580913</v>
      </c>
      <c r="U25">
        <f t="shared" si="4"/>
        <v>39.365259954384221</v>
      </c>
      <c r="V25">
        <v>0.57499999999999996</v>
      </c>
      <c r="W25">
        <v>0.57499999999999996</v>
      </c>
      <c r="X25">
        <v>18156.24373578907</v>
      </c>
      <c r="Y25">
        <f t="shared" si="5"/>
        <v>19645.892958921959</v>
      </c>
      <c r="Z25">
        <v>20.779249408409559</v>
      </c>
      <c r="AA25">
        <v>0.57499999999999996</v>
      </c>
      <c r="AB25">
        <v>0.57499999999999996</v>
      </c>
      <c r="AC25">
        <v>43858.781519834483</v>
      </c>
      <c r="AD25">
        <v>10.07833937344723</v>
      </c>
      <c r="AE25">
        <v>0.57499999999999996</v>
      </c>
      <c r="AF25">
        <v>0.57499999999999996</v>
      </c>
      <c r="AG25">
        <v>30961.41061297293</v>
      </c>
      <c r="AH25">
        <v>6.2527462934072284</v>
      </c>
      <c r="AI25">
        <v>0.57499999999999996</v>
      </c>
      <c r="AJ25">
        <v>0.57499999999999996</v>
      </c>
      <c r="AK25">
        <v>17639.14417668743</v>
      </c>
    </row>
    <row r="26" spans="1:37" x14ac:dyDescent="0.4">
      <c r="A26" t="s">
        <v>34</v>
      </c>
      <c r="B26">
        <v>-4.9511802489646604</v>
      </c>
      <c r="C26">
        <v>893.96042567879579</v>
      </c>
      <c r="D26" t="s">
        <v>171</v>
      </c>
      <c r="E26">
        <v>4.8542835591554701</v>
      </c>
      <c r="F26">
        <v>917.99485855976025</v>
      </c>
      <c r="G26">
        <v>0.14470041795828709</v>
      </c>
      <c r="H26">
        <v>894.67686353020781</v>
      </c>
      <c r="I26" t="s">
        <v>196</v>
      </c>
      <c r="J26" t="s">
        <v>357</v>
      </c>
      <c r="L26">
        <v>911.55549990787586</v>
      </c>
      <c r="M26">
        <v>-1.326531181967129</v>
      </c>
      <c r="N26">
        <v>-1.4750000000000001</v>
      </c>
      <c r="O26">
        <f t="shared" si="0"/>
        <v>3.6246490669975313</v>
      </c>
      <c r="P26">
        <f t="shared" si="1"/>
        <v>0.38647130435371446</v>
      </c>
      <c r="Q26">
        <f t="shared" si="2"/>
        <v>22.143174642383755</v>
      </c>
      <c r="R26">
        <v>-1.4750000000000001</v>
      </c>
      <c r="S26">
        <f t="shared" si="3"/>
        <v>0.92624486794255201</v>
      </c>
      <c r="T26">
        <v>37.284339449923117</v>
      </c>
      <c r="U26">
        <f t="shared" si="4"/>
        <v>40.25322108692707</v>
      </c>
      <c r="V26">
        <v>0.6</v>
      </c>
      <c r="W26">
        <v>0.6</v>
      </c>
      <c r="X26">
        <v>19258.689535743171</v>
      </c>
      <c r="Y26">
        <f t="shared" si="5"/>
        <v>20792.222664101868</v>
      </c>
      <c r="Z26">
        <v>23.39299934935244</v>
      </c>
      <c r="AA26">
        <v>0.6</v>
      </c>
      <c r="AB26">
        <v>0.6</v>
      </c>
      <c r="AC26">
        <v>46717.816828320487</v>
      </c>
      <c r="AD26">
        <v>12.042614989100979</v>
      </c>
      <c r="AE26">
        <v>0.6</v>
      </c>
      <c r="AF26">
        <v>0.6</v>
      </c>
      <c r="AG26">
        <v>54167.872049341939</v>
      </c>
      <c r="AH26">
        <v>8.0746173874713527</v>
      </c>
      <c r="AI26">
        <v>0.6</v>
      </c>
      <c r="AJ26">
        <v>0.6</v>
      </c>
      <c r="AK26">
        <v>30701.20477169086</v>
      </c>
    </row>
    <row r="27" spans="1:37" x14ac:dyDescent="0.4">
      <c r="A27" t="s">
        <v>35</v>
      </c>
      <c r="B27">
        <v>-4.8470497857875134</v>
      </c>
      <c r="C27">
        <v>894.18248572619268</v>
      </c>
      <c r="D27" t="s">
        <v>171</v>
      </c>
      <c r="E27">
        <v>4.8862957971926839</v>
      </c>
      <c r="F27">
        <v>917.86660472326992</v>
      </c>
      <c r="G27">
        <v>0.15017476533614799</v>
      </c>
      <c r="H27">
        <v>894.91039029034596</v>
      </c>
      <c r="I27" t="s">
        <v>197</v>
      </c>
      <c r="J27" t="s">
        <v>358</v>
      </c>
      <c r="L27">
        <v>911.56134278814523</v>
      </c>
      <c r="M27">
        <v>-1.290397104853001</v>
      </c>
      <c r="N27">
        <v>-1.45</v>
      </c>
      <c r="O27">
        <f t="shared" si="0"/>
        <v>3.5566526809345125</v>
      </c>
      <c r="P27">
        <f t="shared" si="1"/>
        <v>0.38711523014084159</v>
      </c>
      <c r="Q27">
        <f t="shared" si="2"/>
        <v>22.180068872305778</v>
      </c>
      <c r="R27">
        <v>-1.45</v>
      </c>
      <c r="S27">
        <f t="shared" si="3"/>
        <v>0.92600196592051909</v>
      </c>
      <c r="T27">
        <v>41.545637398047653</v>
      </c>
      <c r="U27">
        <f t="shared" si="4"/>
        <v>44.865603883192634</v>
      </c>
      <c r="V27">
        <v>0.625</v>
      </c>
      <c r="W27">
        <v>0.625</v>
      </c>
      <c r="X27">
        <v>24178.143289742449</v>
      </c>
      <c r="Y27">
        <f t="shared" si="5"/>
        <v>26110.250495750799</v>
      </c>
      <c r="Z27">
        <v>23.13425345293307</v>
      </c>
      <c r="AA27">
        <v>0.625</v>
      </c>
      <c r="AB27">
        <v>0.625</v>
      </c>
      <c r="AC27">
        <v>44912.133915781807</v>
      </c>
      <c r="AD27">
        <v>13.57919173812966</v>
      </c>
      <c r="AE27">
        <v>0.625</v>
      </c>
      <c r="AF27">
        <v>0.625</v>
      </c>
      <c r="AG27">
        <v>54881.138274238583</v>
      </c>
      <c r="AH27">
        <v>5.31235275424552</v>
      </c>
      <c r="AI27">
        <v>0.625</v>
      </c>
      <c r="AJ27">
        <v>0.625</v>
      </c>
      <c r="AK27">
        <v>27475.187670675459</v>
      </c>
    </row>
    <row r="28" spans="1:37" x14ac:dyDescent="0.4">
      <c r="A28" t="s">
        <v>36</v>
      </c>
      <c r="B28">
        <v>-5.2259736811320652</v>
      </c>
      <c r="C28">
        <v>894.44548770953895</v>
      </c>
      <c r="D28" t="s">
        <v>171</v>
      </c>
      <c r="E28">
        <v>4.5980213562183234</v>
      </c>
      <c r="F28">
        <v>918.4746263024191</v>
      </c>
      <c r="G28">
        <v>0.14506895872586351</v>
      </c>
      <c r="H28">
        <v>895.20361426978957</v>
      </c>
      <c r="I28" t="s">
        <v>198</v>
      </c>
      <c r="J28" t="s">
        <v>359</v>
      </c>
      <c r="L28">
        <v>911.52562227706244</v>
      </c>
      <c r="M28">
        <v>-1.5113031721554779</v>
      </c>
      <c r="N28">
        <v>-1.425</v>
      </c>
      <c r="O28">
        <f t="shared" si="0"/>
        <v>3.714670508976587</v>
      </c>
      <c r="P28">
        <f t="shared" si="1"/>
        <v>0.36630129195529149</v>
      </c>
      <c r="Q28">
        <f t="shared" si="2"/>
        <v>20.987518059227575</v>
      </c>
      <c r="R28">
        <v>-1.425</v>
      </c>
      <c r="S28">
        <f t="shared" si="3"/>
        <v>0.93365847514627009</v>
      </c>
      <c r="T28">
        <v>45.315365930650358</v>
      </c>
      <c r="U28">
        <f t="shared" si="4"/>
        <v>48.535269733990368</v>
      </c>
      <c r="V28">
        <v>0.65</v>
      </c>
      <c r="W28">
        <v>0.65</v>
      </c>
      <c r="X28">
        <v>26571.682226667079</v>
      </c>
      <c r="Y28">
        <f t="shared" si="5"/>
        <v>28459.745114512316</v>
      </c>
      <c r="Z28">
        <v>24.39214881401595</v>
      </c>
      <c r="AA28">
        <v>0.65</v>
      </c>
      <c r="AB28">
        <v>0.65</v>
      </c>
      <c r="AC28">
        <v>55313.672623274128</v>
      </c>
      <c r="AD28">
        <v>14.458817081534971</v>
      </c>
      <c r="AE28">
        <v>0.65</v>
      </c>
      <c r="AF28">
        <v>0.65</v>
      </c>
      <c r="AG28">
        <v>72634.30138485413</v>
      </c>
      <c r="AH28">
        <v>6.9672587056809316</v>
      </c>
      <c r="AI28">
        <v>0.65</v>
      </c>
      <c r="AJ28">
        <v>0.65</v>
      </c>
      <c r="AK28">
        <v>40564.629764596553</v>
      </c>
    </row>
    <row r="29" spans="1:37" x14ac:dyDescent="0.4">
      <c r="A29" t="s">
        <v>37</v>
      </c>
      <c r="B29">
        <v>-4.9916900943171436</v>
      </c>
      <c r="C29">
        <v>894.78217568499474</v>
      </c>
      <c r="D29" t="s">
        <v>171</v>
      </c>
      <c r="E29">
        <v>4.6689655214405761</v>
      </c>
      <c r="F29">
        <v>918.08820462907795</v>
      </c>
      <c r="G29">
        <v>0.14533226404251859</v>
      </c>
      <c r="H29">
        <v>895.50762930780047</v>
      </c>
      <c r="I29" t="s">
        <v>199</v>
      </c>
      <c r="J29" t="s">
        <v>360</v>
      </c>
      <c r="L29">
        <v>911.54333182720961</v>
      </c>
      <c r="M29">
        <v>-1.4017821446526639</v>
      </c>
      <c r="N29">
        <v>-1.4</v>
      </c>
      <c r="O29">
        <f t="shared" si="0"/>
        <v>3.5899079496644797</v>
      </c>
      <c r="P29">
        <f t="shared" si="1"/>
        <v>0.37184057534863335</v>
      </c>
      <c r="Q29">
        <f t="shared" si="2"/>
        <v>21.304895619192973</v>
      </c>
      <c r="R29">
        <v>-1.4</v>
      </c>
      <c r="S29">
        <f t="shared" si="3"/>
        <v>0.9316601863016345</v>
      </c>
      <c r="T29">
        <v>48.606129855944928</v>
      </c>
      <c r="U29">
        <f t="shared" si="4"/>
        <v>52.171521946101706</v>
      </c>
      <c r="V29">
        <v>0.67500000000000004</v>
      </c>
      <c r="W29">
        <v>0.67500000000000004</v>
      </c>
      <c r="X29">
        <v>27902.468809801339</v>
      </c>
      <c r="Y29">
        <f t="shared" si="5"/>
        <v>29949.190938988595</v>
      </c>
      <c r="Z29">
        <v>26.813934853961509</v>
      </c>
      <c r="AA29">
        <v>0.67500000000000004</v>
      </c>
      <c r="AB29">
        <v>0.67500000000000004</v>
      </c>
      <c r="AC29">
        <v>67641.495466795124</v>
      </c>
      <c r="AD29">
        <v>15.983791109767321</v>
      </c>
      <c r="AE29">
        <v>0.67500000000000004</v>
      </c>
      <c r="AF29">
        <v>0.67500000000000004</v>
      </c>
      <c r="AG29">
        <v>99928.275155240917</v>
      </c>
      <c r="AH29">
        <v>8.5829304523619534</v>
      </c>
      <c r="AI29">
        <v>0.67500000000000004</v>
      </c>
      <c r="AJ29">
        <v>0.67500000000000004</v>
      </c>
      <c r="AK29">
        <v>54945.142734378751</v>
      </c>
    </row>
    <row r="30" spans="1:37" x14ac:dyDescent="0.4">
      <c r="A30" t="s">
        <v>38</v>
      </c>
      <c r="B30">
        <v>-5.2790038753751558</v>
      </c>
      <c r="C30">
        <v>895.01517624578241</v>
      </c>
      <c r="D30" t="s">
        <v>171</v>
      </c>
      <c r="E30">
        <v>4.4442700099344368</v>
      </c>
      <c r="F30">
        <v>918.47649485143984</v>
      </c>
      <c r="G30">
        <v>0.14419757483966861</v>
      </c>
      <c r="H30">
        <v>895.77639580218067</v>
      </c>
      <c r="I30" t="s">
        <v>200</v>
      </c>
      <c r="J30" t="s">
        <v>361</v>
      </c>
      <c r="L30">
        <v>911.51677816322911</v>
      </c>
      <c r="M30">
        <v>-1.5659977536852909</v>
      </c>
      <c r="N30">
        <v>-1.375</v>
      </c>
      <c r="O30">
        <f t="shared" si="0"/>
        <v>3.7130061216898649</v>
      </c>
      <c r="P30">
        <f t="shared" si="1"/>
        <v>0.3546612558253166</v>
      </c>
      <c r="Q30">
        <f t="shared" si="2"/>
        <v>20.320593115600225</v>
      </c>
      <c r="R30">
        <v>-1.375</v>
      </c>
      <c r="S30">
        <f t="shared" si="3"/>
        <v>0.93776417923214805</v>
      </c>
      <c r="T30">
        <v>49.919575305637949</v>
      </c>
      <c r="U30">
        <f t="shared" si="4"/>
        <v>53.232546530528246</v>
      </c>
      <c r="V30">
        <v>0.7</v>
      </c>
      <c r="W30">
        <v>0.7</v>
      </c>
      <c r="X30">
        <v>31908.734989556931</v>
      </c>
      <c r="Y30">
        <f t="shared" si="5"/>
        <v>34026.395650646591</v>
      </c>
      <c r="Z30">
        <v>27.83304230692746</v>
      </c>
      <c r="AA30">
        <v>0.7</v>
      </c>
      <c r="AB30">
        <v>0.7</v>
      </c>
      <c r="AC30">
        <v>69517.045392139698</v>
      </c>
      <c r="AD30">
        <v>16.690760863118829</v>
      </c>
      <c r="AE30">
        <v>0.7</v>
      </c>
      <c r="AF30">
        <v>0.7</v>
      </c>
      <c r="AG30">
        <v>117987.1825524279</v>
      </c>
      <c r="AH30">
        <v>10.712086671508709</v>
      </c>
      <c r="AI30">
        <v>0.7</v>
      </c>
      <c r="AJ30">
        <v>0.7</v>
      </c>
      <c r="AK30">
        <v>104738.0165328335</v>
      </c>
    </row>
    <row r="31" spans="1:37" x14ac:dyDescent="0.4">
      <c r="A31" t="s">
        <v>39</v>
      </c>
      <c r="B31">
        <v>-5.1156176730056186</v>
      </c>
      <c r="C31">
        <v>895.32279018065572</v>
      </c>
      <c r="D31" t="s">
        <v>171</v>
      </c>
      <c r="E31">
        <v>4.4690437459030514</v>
      </c>
      <c r="F31">
        <v>918.18470934863262</v>
      </c>
      <c r="G31">
        <v>0.14451595473620579</v>
      </c>
      <c r="H31">
        <v>896.06207855273556</v>
      </c>
      <c r="I31" t="s">
        <v>201</v>
      </c>
      <c r="J31" t="s">
        <v>362</v>
      </c>
      <c r="L31">
        <v>911.52918838957373</v>
      </c>
      <c r="M31">
        <v>-1.489249291442712</v>
      </c>
      <c r="N31">
        <v>-1.35</v>
      </c>
      <c r="O31">
        <f t="shared" si="0"/>
        <v>3.6263683815629069</v>
      </c>
      <c r="P31">
        <f t="shared" si="1"/>
        <v>0.35637796828283252</v>
      </c>
      <c r="Q31">
        <f t="shared" si="2"/>
        <v>20.418953494053415</v>
      </c>
      <c r="R31">
        <v>-1.35</v>
      </c>
      <c r="S31">
        <f t="shared" si="3"/>
        <v>0.93716663027237723</v>
      </c>
      <c r="T31">
        <v>50.356704105187411</v>
      </c>
      <c r="U31">
        <f t="shared" si="4"/>
        <v>53.732924838085395</v>
      </c>
      <c r="V31">
        <v>0.72499999999999998</v>
      </c>
      <c r="W31">
        <v>0.72499999999999998</v>
      </c>
      <c r="X31">
        <v>31047.1852910735</v>
      </c>
      <c r="Y31">
        <f t="shared" si="5"/>
        <v>33128.778050974754</v>
      </c>
      <c r="Z31">
        <v>28.847260270265259</v>
      </c>
      <c r="AA31">
        <v>0.72499999999999998</v>
      </c>
      <c r="AB31">
        <v>0.72499999999999998</v>
      </c>
      <c r="AC31">
        <v>81706.692792089554</v>
      </c>
      <c r="AD31">
        <v>17.230260890004619</v>
      </c>
      <c r="AE31">
        <v>0.72499999999999998</v>
      </c>
      <c r="AF31">
        <v>0.72499999999999998</v>
      </c>
      <c r="AG31">
        <v>122357.6827633463</v>
      </c>
      <c r="AH31">
        <v>10.630017032282501</v>
      </c>
      <c r="AI31">
        <v>0.72499999999999998</v>
      </c>
      <c r="AJ31">
        <v>0.72499999999999998</v>
      </c>
      <c r="AK31">
        <v>97228.786899489802</v>
      </c>
    </row>
    <row r="32" spans="1:37" x14ac:dyDescent="0.4">
      <c r="A32" t="s">
        <v>40</v>
      </c>
      <c r="B32">
        <v>-5.0434390684381754</v>
      </c>
      <c r="C32">
        <v>895.62338459074408</v>
      </c>
      <c r="D32" t="s">
        <v>171</v>
      </c>
      <c r="E32">
        <v>4.4363926347718339</v>
      </c>
      <c r="F32">
        <v>917.99806052788369</v>
      </c>
      <c r="G32">
        <v>0.14653245154879729</v>
      </c>
      <c r="H32">
        <v>896.36241208167928</v>
      </c>
      <c r="I32" t="s">
        <v>202</v>
      </c>
      <c r="J32" t="s">
        <v>363</v>
      </c>
      <c r="L32">
        <v>911.53440940584505</v>
      </c>
      <c r="M32">
        <v>-1.4569610028135409</v>
      </c>
      <c r="N32">
        <v>-1.325</v>
      </c>
      <c r="O32">
        <f t="shared" si="0"/>
        <v>3.5864780656246342</v>
      </c>
      <c r="P32">
        <f t="shared" si="1"/>
        <v>0.35389009392801962</v>
      </c>
      <c r="Q32">
        <f t="shared" si="2"/>
        <v>20.276408793563807</v>
      </c>
      <c r="R32">
        <v>-1.325</v>
      </c>
      <c r="S32">
        <f t="shared" si="3"/>
        <v>0.93803170385777213</v>
      </c>
      <c r="T32">
        <v>54.009679995872261</v>
      </c>
      <c r="U32">
        <f t="shared" si="4"/>
        <v>57.577670108324412</v>
      </c>
      <c r="V32">
        <v>0.75</v>
      </c>
      <c r="W32">
        <v>0.75</v>
      </c>
      <c r="X32">
        <v>32575.729490178092</v>
      </c>
      <c r="Y32">
        <f t="shared" si="5"/>
        <v>34727.748919579528</v>
      </c>
      <c r="Z32">
        <v>29.730237783107331</v>
      </c>
      <c r="AA32">
        <v>0.75</v>
      </c>
      <c r="AB32">
        <v>0.75</v>
      </c>
      <c r="AC32">
        <v>81223.790667735637</v>
      </c>
      <c r="AD32">
        <v>18.343980542258301</v>
      </c>
      <c r="AE32">
        <v>0.75</v>
      </c>
      <c r="AF32">
        <v>0.75</v>
      </c>
      <c r="AG32">
        <v>150534.67583123481</v>
      </c>
      <c r="AH32">
        <v>12.6293700245454</v>
      </c>
      <c r="AI32">
        <v>0.75</v>
      </c>
      <c r="AJ32">
        <v>0.75</v>
      </c>
      <c r="AK32">
        <v>125760.1593735179</v>
      </c>
    </row>
    <row r="33" spans="1:37" x14ac:dyDescent="0.4">
      <c r="A33" t="s">
        <v>41</v>
      </c>
      <c r="B33">
        <v>-5.1695975814336244</v>
      </c>
      <c r="C33">
        <v>895.93739513595176</v>
      </c>
      <c r="D33" t="s">
        <v>171</v>
      </c>
      <c r="E33">
        <v>4.2966324991835583</v>
      </c>
      <c r="F33">
        <v>918.14925611204023</v>
      </c>
      <c r="G33">
        <v>0.1449906732803368</v>
      </c>
      <c r="H33">
        <v>896.68693856987227</v>
      </c>
      <c r="I33" t="s">
        <v>203</v>
      </c>
      <c r="J33" t="s">
        <v>364</v>
      </c>
      <c r="L33">
        <v>911.52053381888743</v>
      </c>
      <c r="M33">
        <v>-1.542771682823334</v>
      </c>
      <c r="N33">
        <v>-1.3</v>
      </c>
      <c r="O33">
        <f t="shared" si="0"/>
        <v>3.6268258986102904</v>
      </c>
      <c r="P33">
        <f t="shared" si="1"/>
        <v>0.34417400294195488</v>
      </c>
      <c r="Q33">
        <f t="shared" si="2"/>
        <v>19.719717786697192</v>
      </c>
      <c r="R33">
        <v>-1.3</v>
      </c>
      <c r="S33">
        <f t="shared" si="3"/>
        <v>0.94135448100090235</v>
      </c>
      <c r="T33">
        <v>57.846441653006281</v>
      </c>
      <c r="U33">
        <f t="shared" si="4"/>
        <v>61.450221803268633</v>
      </c>
      <c r="V33">
        <v>0.77500000000000002</v>
      </c>
      <c r="W33">
        <v>0.77500000000000002</v>
      </c>
      <c r="X33">
        <v>39154.577936736387</v>
      </c>
      <c r="Y33">
        <f t="shared" si="5"/>
        <v>41593.872156538717</v>
      </c>
      <c r="Z33">
        <v>30.988723994095121</v>
      </c>
      <c r="AA33">
        <v>0.77500000000000002</v>
      </c>
      <c r="AB33">
        <v>0.77500000000000002</v>
      </c>
      <c r="AC33">
        <v>94108.617656164322</v>
      </c>
      <c r="AD33">
        <v>18.094571183836589</v>
      </c>
      <c r="AE33">
        <v>0.77500000000000002</v>
      </c>
      <c r="AF33">
        <v>0.77500000000000002</v>
      </c>
      <c r="AG33">
        <v>138506.87016407849</v>
      </c>
      <c r="AH33">
        <v>12.21657042532027</v>
      </c>
      <c r="AI33">
        <v>0.77500000000000002</v>
      </c>
      <c r="AJ33">
        <v>0.77500000000000002</v>
      </c>
      <c r="AK33">
        <v>135811.8646124572</v>
      </c>
    </row>
    <row r="34" spans="1:37" x14ac:dyDescent="0.4">
      <c r="A34" t="s">
        <v>42</v>
      </c>
      <c r="B34">
        <v>-5.3381695066145589</v>
      </c>
      <c r="C34">
        <v>896.20831297137374</v>
      </c>
      <c r="D34" t="s">
        <v>171</v>
      </c>
      <c r="E34">
        <v>4.1414159850422774</v>
      </c>
      <c r="F34">
        <v>918.31589349693252</v>
      </c>
      <c r="G34">
        <v>0.14640357142824681</v>
      </c>
      <c r="H34">
        <v>896.98984005203147</v>
      </c>
      <c r="I34" t="s">
        <v>204</v>
      </c>
      <c r="J34" t="s">
        <v>365</v>
      </c>
      <c r="L34">
        <v>911.50403355965602</v>
      </c>
      <c r="M34">
        <v>-1.6448141023128231</v>
      </c>
      <c r="N34">
        <v>-1.2749999999999999</v>
      </c>
      <c r="O34">
        <f t="shared" si="0"/>
        <v>3.6933554043017356</v>
      </c>
      <c r="P34">
        <f t="shared" si="1"/>
        <v>0.33240526169147144</v>
      </c>
      <c r="Q34">
        <f t="shared" si="2"/>
        <v>19.045418582862975</v>
      </c>
      <c r="R34">
        <v>-1.2749999999999999</v>
      </c>
      <c r="S34">
        <f t="shared" si="3"/>
        <v>0.94526019943691164</v>
      </c>
      <c r="T34">
        <v>61.900030704741702</v>
      </c>
      <c r="U34">
        <f t="shared" si="4"/>
        <v>65.484647234290989</v>
      </c>
      <c r="V34">
        <v>0.8</v>
      </c>
      <c r="W34">
        <v>0.8</v>
      </c>
      <c r="X34">
        <v>41070.355278043928</v>
      </c>
      <c r="Y34">
        <f t="shared" si="5"/>
        <v>43448.730098346889</v>
      </c>
      <c r="Z34">
        <v>32.248624226022258</v>
      </c>
      <c r="AA34">
        <v>0.8</v>
      </c>
      <c r="AB34">
        <v>0.8</v>
      </c>
      <c r="AC34">
        <v>102471.9599842255</v>
      </c>
      <c r="AD34">
        <v>18.786372281224221</v>
      </c>
      <c r="AE34">
        <v>0.8</v>
      </c>
      <c r="AF34">
        <v>0.8</v>
      </c>
      <c r="AG34">
        <v>160648.11316407661</v>
      </c>
      <c r="AH34">
        <v>12.51105252471389</v>
      </c>
      <c r="AI34">
        <v>0.8</v>
      </c>
      <c r="AJ34">
        <v>0.8</v>
      </c>
      <c r="AK34">
        <v>168323.89225293981</v>
      </c>
    </row>
    <row r="35" spans="1:37" x14ac:dyDescent="0.4">
      <c r="A35" t="s">
        <v>43</v>
      </c>
      <c r="B35">
        <v>-5.2155827303227564</v>
      </c>
      <c r="C35">
        <v>896.55366781812131</v>
      </c>
      <c r="D35" t="s">
        <v>171</v>
      </c>
      <c r="E35">
        <v>4.118958062859063</v>
      </c>
      <c r="F35">
        <v>918.03643435769277</v>
      </c>
      <c r="G35">
        <v>0.1443767961048831</v>
      </c>
      <c r="H35">
        <v>897.30667694254532</v>
      </c>
      <c r="I35" t="s">
        <v>205</v>
      </c>
      <c r="J35" t="s">
        <v>366</v>
      </c>
      <c r="L35">
        <v>911.51394331180836</v>
      </c>
      <c r="M35">
        <v>-1.5835293023603729</v>
      </c>
      <c r="N35">
        <v>-1.25</v>
      </c>
      <c r="O35">
        <f t="shared" si="0"/>
        <v>3.6320534279623837</v>
      </c>
      <c r="P35">
        <f t="shared" si="1"/>
        <v>0.33146085478783838</v>
      </c>
      <c r="Q35">
        <f t="shared" si="2"/>
        <v>18.991308053141783</v>
      </c>
      <c r="R35">
        <v>-1.25</v>
      </c>
      <c r="S35">
        <f t="shared" si="3"/>
        <v>0.94556795441451624</v>
      </c>
      <c r="T35">
        <v>64.814692409378353</v>
      </c>
      <c r="U35">
        <f t="shared" si="4"/>
        <v>68.545779398277929</v>
      </c>
      <c r="V35">
        <v>0.82499999999999996</v>
      </c>
      <c r="W35">
        <v>0.82499999999999996</v>
      </c>
      <c r="X35">
        <v>45574.760270430161</v>
      </c>
      <c r="Y35">
        <f t="shared" si="5"/>
        <v>48198.29189182863</v>
      </c>
      <c r="Z35">
        <v>33.374445163665193</v>
      </c>
      <c r="AA35">
        <v>0.82499999999999996</v>
      </c>
      <c r="AB35">
        <v>0.82499999999999996</v>
      </c>
      <c r="AC35">
        <v>107157.6018228836</v>
      </c>
      <c r="AD35">
        <v>20.098441467997802</v>
      </c>
      <c r="AE35">
        <v>0.82499999999999996</v>
      </c>
      <c r="AF35">
        <v>0.82499999999999996</v>
      </c>
      <c r="AG35">
        <v>176837.10357264179</v>
      </c>
      <c r="AH35">
        <v>13.057319583582309</v>
      </c>
      <c r="AI35">
        <v>0.82499999999999996</v>
      </c>
      <c r="AJ35">
        <v>0.82499999999999996</v>
      </c>
      <c r="AK35">
        <v>187205.0637990915</v>
      </c>
    </row>
    <row r="36" spans="1:37" x14ac:dyDescent="0.4">
      <c r="A36" t="s">
        <v>44</v>
      </c>
      <c r="B36">
        <v>-5.4706141986190699</v>
      </c>
      <c r="C36">
        <v>896.84923217256119</v>
      </c>
      <c r="D36" t="s">
        <v>171</v>
      </c>
      <c r="E36">
        <v>3.9340363645604008</v>
      </c>
      <c r="F36">
        <v>918.37082736640912</v>
      </c>
      <c r="G36">
        <v>0.14441256553070589</v>
      </c>
      <c r="H36">
        <v>897.63925760401253</v>
      </c>
      <c r="I36" t="s">
        <v>206</v>
      </c>
      <c r="J36" t="s">
        <v>367</v>
      </c>
      <c r="L36">
        <v>911.48705762002646</v>
      </c>
      <c r="M36">
        <v>-1.7497982682348501</v>
      </c>
      <c r="N36">
        <v>-1.2250000000000001</v>
      </c>
      <c r="O36">
        <f t="shared" si="0"/>
        <v>3.7208159303842199</v>
      </c>
      <c r="P36">
        <f t="shared" si="1"/>
        <v>0.31805199418910113</v>
      </c>
      <c r="Q36">
        <f t="shared" si="2"/>
        <v>18.223036932754876</v>
      </c>
      <c r="R36">
        <v>-1.2250000000000001</v>
      </c>
      <c r="S36">
        <f t="shared" si="3"/>
        <v>0.9498463941389873</v>
      </c>
      <c r="T36">
        <v>65.650276589518697</v>
      </c>
      <c r="U36">
        <f t="shared" si="4"/>
        <v>69.116729815065597</v>
      </c>
      <c r="V36">
        <v>0.85</v>
      </c>
      <c r="W36">
        <v>0.85</v>
      </c>
      <c r="X36">
        <v>44336.204729326113</v>
      </c>
      <c r="Y36">
        <f t="shared" si="5"/>
        <v>46677.236448863718</v>
      </c>
      <c r="Z36">
        <v>36.076792442464942</v>
      </c>
      <c r="AA36">
        <v>0.85</v>
      </c>
      <c r="AB36">
        <v>0.85</v>
      </c>
      <c r="AC36">
        <v>128507.01264519821</v>
      </c>
      <c r="AF36">
        <v>0.85</v>
      </c>
      <c r="AH36">
        <v>13.40933969762516</v>
      </c>
      <c r="AI36">
        <v>0.85</v>
      </c>
      <c r="AJ36">
        <v>0.85</v>
      </c>
      <c r="AK36">
        <v>175686.45637606861</v>
      </c>
    </row>
    <row r="37" spans="1:37" x14ac:dyDescent="0.4">
      <c r="A37" t="s">
        <v>45</v>
      </c>
      <c r="B37">
        <v>-5.4372907463844813</v>
      </c>
      <c r="C37">
        <v>897.12824892400704</v>
      </c>
      <c r="D37" t="s">
        <v>171</v>
      </c>
      <c r="E37">
        <v>3.8884657872795141</v>
      </c>
      <c r="F37">
        <v>918.27096796681462</v>
      </c>
      <c r="G37">
        <v>0.14576484049790719</v>
      </c>
      <c r="H37">
        <v>897.92081474239455</v>
      </c>
      <c r="I37" t="s">
        <v>207</v>
      </c>
      <c r="J37" t="s">
        <v>368</v>
      </c>
      <c r="L37">
        <v>911.48793063326218</v>
      </c>
      <c r="M37">
        <v>-1.7443992995535691</v>
      </c>
      <c r="N37">
        <v>-1.2</v>
      </c>
      <c r="O37">
        <f t="shared" si="0"/>
        <v>3.6928914468309122</v>
      </c>
      <c r="P37">
        <f t="shared" si="1"/>
        <v>0.31418543196112902</v>
      </c>
      <c r="Q37">
        <f t="shared" si="2"/>
        <v>18.001499235867378</v>
      </c>
      <c r="R37">
        <v>-1.2</v>
      </c>
      <c r="S37">
        <f t="shared" si="3"/>
        <v>0.95104843004481521</v>
      </c>
      <c r="U37">
        <f t="shared" si="4"/>
        <v>0</v>
      </c>
      <c r="W37">
        <v>0.875</v>
      </c>
      <c r="Y37">
        <f t="shared" si="5"/>
        <v>0</v>
      </c>
      <c r="Z37">
        <v>36.110671010659452</v>
      </c>
      <c r="AA37">
        <v>0.875</v>
      </c>
      <c r="AB37">
        <v>0.875</v>
      </c>
      <c r="AC37">
        <v>135300.13924993231</v>
      </c>
      <c r="AD37">
        <v>22.196026886474851</v>
      </c>
      <c r="AE37">
        <v>0.875</v>
      </c>
      <c r="AF37">
        <v>0.875</v>
      </c>
      <c r="AG37">
        <v>225181.49254014331</v>
      </c>
      <c r="AH37">
        <v>14.355885775412879</v>
      </c>
      <c r="AI37">
        <v>0.875</v>
      </c>
      <c r="AJ37">
        <v>0.875</v>
      </c>
      <c r="AK37">
        <v>227075.58218543191</v>
      </c>
    </row>
    <row r="38" spans="1:37" x14ac:dyDescent="0.4">
      <c r="A38" t="s">
        <v>46</v>
      </c>
      <c r="B38">
        <v>-5.3432633058904058</v>
      </c>
      <c r="C38">
        <v>897.41144981816296</v>
      </c>
      <c r="D38" t="s">
        <v>171</v>
      </c>
      <c r="E38">
        <v>3.858237108661188</v>
      </c>
      <c r="F38">
        <v>918.02702658629698</v>
      </c>
      <c r="G38">
        <v>0.14699999374131731</v>
      </c>
      <c r="H38">
        <v>898.19690949068706</v>
      </c>
      <c r="I38" t="s">
        <v>208</v>
      </c>
      <c r="J38" t="s">
        <v>369</v>
      </c>
      <c r="L38">
        <v>911.49629483597755</v>
      </c>
      <c r="M38">
        <v>-1.6926726284628</v>
      </c>
      <c r="N38">
        <v>-1.175</v>
      </c>
      <c r="O38">
        <f t="shared" si="0"/>
        <v>3.6505906774276058</v>
      </c>
      <c r="P38">
        <f t="shared" si="1"/>
        <v>0.31139444419389828</v>
      </c>
      <c r="Q38">
        <f t="shared" si="2"/>
        <v>17.841587416132413</v>
      </c>
      <c r="R38">
        <v>-1.175</v>
      </c>
      <c r="S38">
        <f t="shared" si="3"/>
        <v>0.95190725688511202</v>
      </c>
      <c r="T38">
        <v>71.561733571134582</v>
      </c>
      <c r="U38">
        <f t="shared" si="4"/>
        <v>75.177211911697341</v>
      </c>
      <c r="V38">
        <v>0.9</v>
      </c>
      <c r="W38">
        <v>0.9</v>
      </c>
      <c r="X38">
        <v>55764.287401409063</v>
      </c>
      <c r="Y38">
        <f t="shared" si="5"/>
        <v>58581.639123000605</v>
      </c>
      <c r="Z38">
        <v>39.90239518317793</v>
      </c>
      <c r="AA38">
        <v>0.9</v>
      </c>
      <c r="AB38">
        <v>0.9</v>
      </c>
      <c r="AC38">
        <v>159234.73758259919</v>
      </c>
      <c r="AD38">
        <v>25.59607464500651</v>
      </c>
      <c r="AE38">
        <v>0.9</v>
      </c>
      <c r="AF38">
        <v>0.9</v>
      </c>
      <c r="AG38">
        <v>291314.30801939481</v>
      </c>
      <c r="AH38">
        <v>15.67254019534608</v>
      </c>
      <c r="AI38">
        <v>0.9</v>
      </c>
      <c r="AJ38">
        <v>0.9</v>
      </c>
      <c r="AK38">
        <v>322505.25090570212</v>
      </c>
    </row>
    <row r="39" spans="1:37" x14ac:dyDescent="0.4">
      <c r="A39" t="s">
        <v>47</v>
      </c>
      <c r="B39">
        <v>-5.3879502150293623</v>
      </c>
      <c r="C39">
        <v>897.67858705303001</v>
      </c>
      <c r="D39" t="s">
        <v>171</v>
      </c>
      <c r="E39">
        <v>3.7698581142776</v>
      </c>
      <c r="F39">
        <v>917.99039489048221</v>
      </c>
      <c r="G39">
        <v>0.14912142687288099</v>
      </c>
      <c r="H39">
        <v>898.48204587701525</v>
      </c>
      <c r="I39" t="s">
        <v>209</v>
      </c>
      <c r="J39" t="s">
        <v>370</v>
      </c>
      <c r="L39">
        <v>911.49123230981013</v>
      </c>
      <c r="M39">
        <v>-1.7239807680262491</v>
      </c>
      <c r="N39">
        <v>-1.1499999999999999</v>
      </c>
      <c r="O39">
        <f t="shared" si="0"/>
        <v>3.6639694470031134</v>
      </c>
      <c r="P39">
        <f t="shared" si="1"/>
        <v>0.30412998802324132</v>
      </c>
      <c r="Q39">
        <f t="shared" si="2"/>
        <v>17.425364737096</v>
      </c>
      <c r="R39">
        <v>-1.1499999999999999</v>
      </c>
      <c r="S39">
        <f t="shared" si="3"/>
        <v>0.95410785020044397</v>
      </c>
      <c r="T39">
        <v>75.896881530607388</v>
      </c>
      <c r="U39">
        <f t="shared" si="4"/>
        <v>79.547486706730879</v>
      </c>
      <c r="V39">
        <v>0.92500000000000004</v>
      </c>
      <c r="W39">
        <v>0.92500000000000004</v>
      </c>
      <c r="X39">
        <v>59495.851959672989</v>
      </c>
      <c r="Y39">
        <f t="shared" si="5"/>
        <v>62357.575139093329</v>
      </c>
      <c r="Z39">
        <v>41.75802345732447</v>
      </c>
      <c r="AA39">
        <v>0.92500000000000004</v>
      </c>
      <c r="AB39">
        <v>0.92500000000000004</v>
      </c>
      <c r="AC39">
        <v>170972.96981863171</v>
      </c>
      <c r="AD39">
        <v>26.143030736419959</v>
      </c>
      <c r="AE39">
        <v>0.92500000000000004</v>
      </c>
      <c r="AF39">
        <v>0.92500000000000004</v>
      </c>
      <c r="AG39">
        <v>325860.55967016931</v>
      </c>
      <c r="AH39">
        <v>16.448323166624419</v>
      </c>
      <c r="AI39">
        <v>0.92500000000000004</v>
      </c>
      <c r="AJ39">
        <v>0.92500000000000004</v>
      </c>
      <c r="AK39">
        <v>365915.63644722977</v>
      </c>
    </row>
    <row r="40" spans="1:37" x14ac:dyDescent="0.4">
      <c r="A40" t="s">
        <v>48</v>
      </c>
      <c r="B40">
        <v>-5.3657787751715418</v>
      </c>
      <c r="C40">
        <v>897.93204331513493</v>
      </c>
      <c r="D40" t="s">
        <v>171</v>
      </c>
      <c r="E40">
        <v>3.7141478159010362</v>
      </c>
      <c r="F40">
        <v>917.86133883354648</v>
      </c>
      <c r="G40">
        <v>0.154113090497279</v>
      </c>
      <c r="H40">
        <v>898.75898006510135</v>
      </c>
      <c r="I40" t="s">
        <v>210</v>
      </c>
      <c r="J40" t="s">
        <v>371</v>
      </c>
      <c r="L40">
        <v>911.4927349939253</v>
      </c>
      <c r="M40">
        <v>-1.7146877308267601</v>
      </c>
      <c r="N40">
        <v>-1.125</v>
      </c>
      <c r="O40">
        <f t="shared" si="0"/>
        <v>3.6510910443447817</v>
      </c>
      <c r="P40">
        <f t="shared" si="1"/>
        <v>0.2988960478327134</v>
      </c>
      <c r="Q40">
        <f t="shared" si="2"/>
        <v>17.125482053954855</v>
      </c>
      <c r="R40">
        <v>-1.125</v>
      </c>
      <c r="S40">
        <f t="shared" si="3"/>
        <v>0.95566214709276909</v>
      </c>
      <c r="T40">
        <v>82.187446428596544</v>
      </c>
      <c r="U40">
        <f t="shared" si="4"/>
        <v>86.000525058588892</v>
      </c>
      <c r="V40">
        <v>0.95</v>
      </c>
      <c r="W40">
        <v>0.95</v>
      </c>
      <c r="X40">
        <v>62866.831196059611</v>
      </c>
      <c r="Y40">
        <f t="shared" si="5"/>
        <v>65783.531750532886</v>
      </c>
      <c r="Z40">
        <v>42.332111490900303</v>
      </c>
      <c r="AA40">
        <v>0.95</v>
      </c>
      <c r="AB40">
        <v>0.95</v>
      </c>
      <c r="AC40">
        <v>188903.25895230001</v>
      </c>
      <c r="AD40">
        <v>27.256563120709899</v>
      </c>
      <c r="AE40">
        <v>0.95</v>
      </c>
      <c r="AF40">
        <v>0.95</v>
      </c>
      <c r="AG40">
        <v>356543.00045262848</v>
      </c>
      <c r="AH40">
        <v>17.944424640226231</v>
      </c>
      <c r="AI40">
        <v>0.95</v>
      </c>
      <c r="AJ40">
        <v>0.95</v>
      </c>
      <c r="AK40">
        <v>447363.29515247431</v>
      </c>
    </row>
    <row r="41" spans="1:37" x14ac:dyDescent="0.4">
      <c r="A41" t="s">
        <v>49</v>
      </c>
      <c r="B41">
        <v>-5.4351743995200614</v>
      </c>
      <c r="C41">
        <v>898.24978021821642</v>
      </c>
      <c r="D41" t="s">
        <v>171</v>
      </c>
      <c r="E41">
        <v>3.6070558639422008</v>
      </c>
      <c r="F41">
        <v>917.85475790755379</v>
      </c>
      <c r="G41">
        <v>0.14999660893437569</v>
      </c>
      <c r="H41">
        <v>899.06503794711136</v>
      </c>
      <c r="I41" t="s">
        <v>211</v>
      </c>
      <c r="J41" t="s">
        <v>372</v>
      </c>
      <c r="L41">
        <v>911.4844256301526</v>
      </c>
      <c r="M41">
        <v>-1.766075261888747</v>
      </c>
      <c r="N41">
        <v>-1.1000000000000001</v>
      </c>
      <c r="O41">
        <f t="shared" si="0"/>
        <v>3.6690991376313145</v>
      </c>
      <c r="P41">
        <f t="shared" si="1"/>
        <v>0.29127431806100912</v>
      </c>
      <c r="Q41">
        <f t="shared" si="2"/>
        <v>16.688789105446993</v>
      </c>
      <c r="R41">
        <v>-1.1000000000000001</v>
      </c>
      <c r="S41">
        <f t="shared" si="3"/>
        <v>0.95787870348673165</v>
      </c>
      <c r="T41">
        <v>85.797536503098357</v>
      </c>
      <c r="U41">
        <f t="shared" si="4"/>
        <v>89.57035602815948</v>
      </c>
      <c r="V41">
        <v>0.97499999999999998</v>
      </c>
      <c r="W41">
        <v>0.97499999999999998</v>
      </c>
      <c r="X41">
        <v>68001.438776928524</v>
      </c>
      <c r="Y41">
        <f t="shared" si="5"/>
        <v>70991.701276371954</v>
      </c>
      <c r="Z41">
        <v>43.927753877154331</v>
      </c>
      <c r="AA41">
        <v>0.97499999999999998</v>
      </c>
      <c r="AB41">
        <v>0.97499999999999998</v>
      </c>
      <c r="AC41">
        <v>207535.2940300777</v>
      </c>
      <c r="AD41">
        <v>29.031936492041339</v>
      </c>
      <c r="AE41">
        <v>0.97499999999999998</v>
      </c>
      <c r="AF41">
        <v>0.97499999999999998</v>
      </c>
      <c r="AG41">
        <v>412436.38156835322</v>
      </c>
      <c r="AH41">
        <v>19.198301858811771</v>
      </c>
      <c r="AI41">
        <v>0.97499999999999998</v>
      </c>
      <c r="AJ41">
        <v>0.97499999999999998</v>
      </c>
      <c r="AK41">
        <v>522101.29179480771</v>
      </c>
    </row>
    <row r="42" spans="1:37" x14ac:dyDescent="0.4">
      <c r="A42" t="s">
        <v>50</v>
      </c>
      <c r="B42">
        <v>-5.4215363021652472</v>
      </c>
      <c r="C42">
        <v>898.59578373413046</v>
      </c>
      <c r="D42" t="s">
        <v>171</v>
      </c>
      <c r="E42">
        <v>3.535818508984153</v>
      </c>
      <c r="F42">
        <v>917.7653521384558</v>
      </c>
      <c r="G42">
        <v>0.14774581223419869</v>
      </c>
      <c r="H42">
        <v>899.39679301865101</v>
      </c>
      <c r="I42" t="s">
        <v>212</v>
      </c>
      <c r="J42" t="s">
        <v>373</v>
      </c>
      <c r="L42">
        <v>911.48268102328336</v>
      </c>
      <c r="M42">
        <v>-1.776864420016018</v>
      </c>
      <c r="N42">
        <v>-1.075</v>
      </c>
      <c r="O42">
        <f t="shared" si="0"/>
        <v>3.644671882149229</v>
      </c>
      <c r="P42">
        <f t="shared" si="1"/>
        <v>0.28681836861143939</v>
      </c>
      <c r="Q42">
        <f t="shared" si="2"/>
        <v>16.433482008263002</v>
      </c>
      <c r="R42">
        <v>-1.075</v>
      </c>
      <c r="S42">
        <f t="shared" si="3"/>
        <v>0.95914881851171907</v>
      </c>
      <c r="T42">
        <v>89.683401441076853</v>
      </c>
      <c r="U42">
        <f t="shared" si="4"/>
        <v>93.503114125955719</v>
      </c>
      <c r="V42">
        <v>1</v>
      </c>
      <c r="W42">
        <v>1</v>
      </c>
      <c r="X42">
        <v>68870.208129223043</v>
      </c>
      <c r="Y42">
        <f t="shared" si="5"/>
        <v>71803.464488531376</v>
      </c>
      <c r="Z42">
        <v>45.220913375221457</v>
      </c>
      <c r="AA42">
        <v>1</v>
      </c>
      <c r="AB42">
        <v>1</v>
      </c>
      <c r="AC42">
        <v>220577.82692114171</v>
      </c>
      <c r="AD42">
        <v>30.232976158083151</v>
      </c>
      <c r="AE42">
        <v>1</v>
      </c>
      <c r="AF42">
        <v>1</v>
      </c>
      <c r="AG42">
        <v>450228.02612513187</v>
      </c>
      <c r="AH42">
        <v>19.505608069088112</v>
      </c>
      <c r="AI42">
        <v>1</v>
      </c>
      <c r="AJ42">
        <v>1</v>
      </c>
      <c r="AK42">
        <v>570611.66426883754</v>
      </c>
    </row>
    <row r="43" spans="1:37" x14ac:dyDescent="0.4">
      <c r="A43" t="s">
        <v>51</v>
      </c>
      <c r="B43">
        <v>-5.4063870431686016</v>
      </c>
      <c r="C43">
        <v>898.90356241244729</v>
      </c>
      <c r="D43" t="s">
        <v>171</v>
      </c>
      <c r="E43">
        <v>3.469137800015893</v>
      </c>
      <c r="F43">
        <v>917.65906406541967</v>
      </c>
      <c r="G43">
        <v>0.14467368600706129</v>
      </c>
      <c r="H43">
        <v>899.68572435396334</v>
      </c>
      <c r="I43" t="s">
        <v>213</v>
      </c>
      <c r="J43" t="s">
        <v>374</v>
      </c>
      <c r="L43">
        <v>911.4820848073947</v>
      </c>
      <c r="M43">
        <v>-1.780551593106193</v>
      </c>
      <c r="N43">
        <v>-1.05</v>
      </c>
      <c r="O43">
        <f t="shared" si="0"/>
        <v>3.6258354500624086</v>
      </c>
      <c r="P43">
        <f t="shared" si="1"/>
        <v>0.28187773926347615</v>
      </c>
      <c r="Q43">
        <f t="shared" si="2"/>
        <v>16.150404798486235</v>
      </c>
      <c r="R43">
        <v>-1.05</v>
      </c>
      <c r="S43">
        <f t="shared" si="3"/>
        <v>0.96053482046925909</v>
      </c>
      <c r="T43">
        <v>95.001087350281864</v>
      </c>
      <c r="U43">
        <f t="shared" si="4"/>
        <v>98.904365907182935</v>
      </c>
      <c r="V43">
        <v>1.0249999999999999</v>
      </c>
      <c r="W43">
        <v>1.0249999999999999</v>
      </c>
      <c r="X43">
        <v>72455.291616529823</v>
      </c>
      <c r="Y43">
        <f t="shared" si="5"/>
        <v>75432.238449338634</v>
      </c>
      <c r="Z43">
        <v>47.051782291660913</v>
      </c>
      <c r="AA43">
        <v>1.0249999999999999</v>
      </c>
      <c r="AB43">
        <v>1.0249999999999999</v>
      </c>
      <c r="AC43">
        <v>236304.91733820221</v>
      </c>
      <c r="AD43">
        <v>32.154841464700922</v>
      </c>
      <c r="AE43">
        <v>1.0249999999999999</v>
      </c>
      <c r="AF43">
        <v>1.0249999999999999</v>
      </c>
      <c r="AG43">
        <v>511886.37262953859</v>
      </c>
      <c r="AH43">
        <v>20.533376536048191</v>
      </c>
      <c r="AI43">
        <v>1.0249999999999999</v>
      </c>
      <c r="AJ43">
        <v>1.0249999999999999</v>
      </c>
      <c r="AK43">
        <v>601298.94807274791</v>
      </c>
    </row>
    <row r="44" spans="1:37" x14ac:dyDescent="0.4">
      <c r="A44" t="s">
        <v>52</v>
      </c>
      <c r="B44">
        <v>-5.4891504184692614</v>
      </c>
      <c r="C44">
        <v>899.15328491351647</v>
      </c>
      <c r="D44" t="s">
        <v>171</v>
      </c>
      <c r="E44">
        <v>3.3704293093190389</v>
      </c>
      <c r="F44">
        <v>917.65407836718612</v>
      </c>
      <c r="G44">
        <v>0.14835688174206341</v>
      </c>
      <c r="H44">
        <v>899.9676381530137</v>
      </c>
      <c r="I44" t="s">
        <v>214</v>
      </c>
      <c r="J44" t="s">
        <v>375</v>
      </c>
      <c r="L44">
        <v>911.47347903715149</v>
      </c>
      <c r="M44">
        <v>-1.8337721883026099</v>
      </c>
      <c r="N44">
        <v>-1.0249999999999999</v>
      </c>
      <c r="O44">
        <f t="shared" si="0"/>
        <v>3.6553782301666518</v>
      </c>
      <c r="P44">
        <f t="shared" si="1"/>
        <v>0.27338768637917421</v>
      </c>
      <c r="Q44">
        <f t="shared" si="2"/>
        <v>15.663960600372866</v>
      </c>
      <c r="R44">
        <v>-1.0249999999999999</v>
      </c>
      <c r="S44">
        <f t="shared" si="3"/>
        <v>0.96286176532524848</v>
      </c>
      <c r="T44">
        <v>97.766514894380762</v>
      </c>
      <c r="U44">
        <f t="shared" si="4"/>
        <v>101.53743602162442</v>
      </c>
      <c r="V44">
        <v>1.05</v>
      </c>
      <c r="W44">
        <v>1.05</v>
      </c>
      <c r="X44">
        <v>78694.893925185548</v>
      </c>
      <c r="Y44">
        <f t="shared" si="5"/>
        <v>81730.209630458136</v>
      </c>
      <c r="Z44">
        <v>48.500709321854181</v>
      </c>
      <c r="AA44">
        <v>1.05</v>
      </c>
      <c r="AB44">
        <v>1.05</v>
      </c>
      <c r="AC44">
        <v>253647.050370265</v>
      </c>
      <c r="AD44">
        <v>33.267138674806098</v>
      </c>
      <c r="AE44">
        <v>1.05</v>
      </c>
      <c r="AF44">
        <v>1.05</v>
      </c>
      <c r="AG44">
        <v>536342.44710107986</v>
      </c>
      <c r="AH44">
        <v>21.529619772853451</v>
      </c>
      <c r="AI44">
        <v>1.05</v>
      </c>
      <c r="AJ44">
        <v>1.05</v>
      </c>
      <c r="AK44">
        <v>660216.05136711453</v>
      </c>
    </row>
    <row r="45" spans="1:37" x14ac:dyDescent="0.4">
      <c r="A45" t="s">
        <v>53</v>
      </c>
      <c r="B45">
        <v>-5.50509535440154</v>
      </c>
      <c r="C45">
        <v>899.4361556526012</v>
      </c>
      <c r="D45" t="s">
        <v>171</v>
      </c>
      <c r="E45">
        <v>3.2874522894779159</v>
      </c>
      <c r="F45">
        <v>917.53389397922274</v>
      </c>
      <c r="G45">
        <v>0.147031039916971</v>
      </c>
      <c r="H45">
        <v>900.2455755474009</v>
      </c>
      <c r="I45" t="s">
        <v>215</v>
      </c>
      <c r="J45" t="s">
        <v>376</v>
      </c>
      <c r="L45">
        <v>911.47182482173889</v>
      </c>
      <c r="M45">
        <v>-1.844002339277093</v>
      </c>
      <c r="N45">
        <v>-1</v>
      </c>
      <c r="O45">
        <f t="shared" si="0"/>
        <v>3.6610930151244467</v>
      </c>
      <c r="P45">
        <f t="shared" si="1"/>
        <v>0.26663846403451275</v>
      </c>
      <c r="Q45">
        <f t="shared" si="2"/>
        <v>15.277258645028374</v>
      </c>
      <c r="R45">
        <v>-1</v>
      </c>
      <c r="S45">
        <f t="shared" si="3"/>
        <v>0.96466207673097393</v>
      </c>
      <c r="T45">
        <v>104.39177525082469</v>
      </c>
      <c r="U45">
        <f t="shared" si="4"/>
        <v>108.21590043695436</v>
      </c>
      <c r="V45">
        <v>1.075</v>
      </c>
      <c r="W45">
        <v>1.075</v>
      </c>
      <c r="X45">
        <v>80675.794518113849</v>
      </c>
      <c r="Y45">
        <f t="shared" si="5"/>
        <v>83631.145521451661</v>
      </c>
      <c r="Z45">
        <v>50.396887956549442</v>
      </c>
      <c r="AA45">
        <v>1.075</v>
      </c>
      <c r="AB45">
        <v>1.075</v>
      </c>
      <c r="AC45">
        <v>288180.67714835028</v>
      </c>
      <c r="AD45">
        <v>34.636774674251171</v>
      </c>
      <c r="AE45">
        <v>1.075</v>
      </c>
      <c r="AF45">
        <v>1.075</v>
      </c>
      <c r="AG45">
        <v>594252.99929196632</v>
      </c>
      <c r="AH45">
        <v>23.23202445019902</v>
      </c>
      <c r="AI45">
        <v>1.075</v>
      </c>
      <c r="AJ45">
        <v>1.075</v>
      </c>
      <c r="AK45">
        <v>795368.15599580947</v>
      </c>
    </row>
    <row r="46" spans="1:37" x14ac:dyDescent="0.4">
      <c r="A46" t="s">
        <v>54</v>
      </c>
      <c r="B46">
        <v>-5.5643131765595344</v>
      </c>
      <c r="C46">
        <v>899.7201116717705</v>
      </c>
      <c r="D46" t="s">
        <v>171</v>
      </c>
      <c r="E46">
        <v>3.1835872881171099</v>
      </c>
      <c r="F46">
        <v>917.43458836776801</v>
      </c>
      <c r="G46">
        <v>0.14622039850935081</v>
      </c>
      <c r="H46">
        <v>900.53372776187791</v>
      </c>
      <c r="I46" t="s">
        <v>216</v>
      </c>
      <c r="J46" t="s">
        <v>377</v>
      </c>
      <c r="L46">
        <v>911.46689009562567</v>
      </c>
      <c r="M46">
        <v>-1.874520126000734</v>
      </c>
      <c r="N46">
        <v>-0.97499999999999998</v>
      </c>
      <c r="O46">
        <f t="shared" si="0"/>
        <v>3.6897930505588006</v>
      </c>
      <c r="P46">
        <f t="shared" si="1"/>
        <v>0.25833776722736879</v>
      </c>
      <c r="Q46">
        <f t="shared" si="2"/>
        <v>14.801663750961307</v>
      </c>
      <c r="R46">
        <v>-0.97499999999999998</v>
      </c>
      <c r="S46">
        <f t="shared" si="3"/>
        <v>0.96681597058024515</v>
      </c>
      <c r="T46">
        <v>104.7974322493033</v>
      </c>
      <c r="U46">
        <f t="shared" si="4"/>
        <v>108.39439504335864</v>
      </c>
      <c r="V46">
        <v>1.1000000000000001</v>
      </c>
      <c r="W46">
        <v>1.1000000000000001</v>
      </c>
      <c r="X46">
        <v>81187.275614937287</v>
      </c>
      <c r="Y46">
        <f t="shared" si="5"/>
        <v>83973.866884110175</v>
      </c>
      <c r="Z46">
        <v>52.69432073123405</v>
      </c>
      <c r="AA46">
        <v>1.1000000000000001</v>
      </c>
      <c r="AB46">
        <v>1.1000000000000001</v>
      </c>
      <c r="AC46">
        <v>302645.46753873827</v>
      </c>
      <c r="AD46">
        <v>34.919265104905023</v>
      </c>
      <c r="AE46">
        <v>1.1000000000000001</v>
      </c>
      <c r="AF46">
        <v>1.1000000000000001</v>
      </c>
      <c r="AG46">
        <v>598330.04824265977</v>
      </c>
      <c r="AH46">
        <v>23.807002830819268</v>
      </c>
      <c r="AI46">
        <v>1.1000000000000001</v>
      </c>
      <c r="AJ46">
        <v>1.1000000000000001</v>
      </c>
      <c r="AK46">
        <v>832287.2465019814</v>
      </c>
    </row>
    <row r="47" spans="1:37" x14ac:dyDescent="0.4">
      <c r="A47" t="s">
        <v>55</v>
      </c>
      <c r="B47">
        <v>-5.606569551555709</v>
      </c>
      <c r="C47">
        <v>899.97932611854287</v>
      </c>
      <c r="D47" t="s">
        <v>171</v>
      </c>
      <c r="E47">
        <v>3.0963409501232881</v>
      </c>
      <c r="F47">
        <v>917.33917701073915</v>
      </c>
      <c r="G47">
        <v>0.14754521958921091</v>
      </c>
      <c r="H47">
        <v>900.80654865416932</v>
      </c>
      <c r="I47" t="s">
        <v>217</v>
      </c>
      <c r="J47" t="s">
        <v>378</v>
      </c>
      <c r="L47">
        <v>911.46313591648857</v>
      </c>
      <c r="M47">
        <v>-1.89773706562403</v>
      </c>
      <c r="N47">
        <v>-0.95</v>
      </c>
      <c r="O47">
        <f t="shared" si="0"/>
        <v>3.708832485931679</v>
      </c>
      <c r="P47">
        <f t="shared" si="1"/>
        <v>0.25075405716391619</v>
      </c>
      <c r="Q47">
        <f t="shared" si="2"/>
        <v>14.367149171274583</v>
      </c>
      <c r="R47">
        <v>-0.95</v>
      </c>
      <c r="S47">
        <f t="shared" si="3"/>
        <v>0.96872558953760979</v>
      </c>
      <c r="T47">
        <v>107.93445798477821</v>
      </c>
      <c r="U47">
        <f t="shared" si="4"/>
        <v>111.41902221897253</v>
      </c>
      <c r="V47">
        <v>1.125</v>
      </c>
      <c r="W47">
        <v>1.125</v>
      </c>
      <c r="X47">
        <v>86350.926173295738</v>
      </c>
      <c r="Y47">
        <f t="shared" si="5"/>
        <v>89138.686028220429</v>
      </c>
      <c r="Z47">
        <v>53.788607183118721</v>
      </c>
      <c r="AA47">
        <v>1.125</v>
      </c>
      <c r="AB47">
        <v>1.125</v>
      </c>
      <c r="AC47">
        <v>321082.79517925088</v>
      </c>
      <c r="AD47">
        <v>37.056437190359567</v>
      </c>
      <c r="AE47">
        <v>1.125</v>
      </c>
      <c r="AF47">
        <v>1.125</v>
      </c>
      <c r="AG47">
        <v>697675.49197755591</v>
      </c>
      <c r="AH47">
        <v>25.009697239825702</v>
      </c>
      <c r="AI47">
        <v>1.125</v>
      </c>
      <c r="AJ47">
        <v>1.125</v>
      </c>
      <c r="AK47">
        <v>908002.65813886316</v>
      </c>
    </row>
    <row r="48" spans="1:37" x14ac:dyDescent="0.4">
      <c r="A48" t="s">
        <v>56</v>
      </c>
      <c r="B48">
        <v>-5.6657216703328537</v>
      </c>
      <c r="C48">
        <v>900.19003989809016</v>
      </c>
      <c r="D48" t="s">
        <v>171</v>
      </c>
      <c r="E48">
        <v>3.0118465060385748</v>
      </c>
      <c r="F48">
        <v>917.25432391506922</v>
      </c>
      <c r="G48">
        <v>0.15167186659490911</v>
      </c>
      <c r="H48">
        <v>901.04937047943679</v>
      </c>
      <c r="I48" t="s">
        <v>218</v>
      </c>
      <c r="J48" t="s">
        <v>379</v>
      </c>
      <c r="L48">
        <v>911.45885282380175</v>
      </c>
      <c r="M48">
        <v>-1.9242249610283311</v>
      </c>
      <c r="N48">
        <v>-0.92500000000000004</v>
      </c>
      <c r="O48">
        <f t="shared" si="0"/>
        <v>3.7414967093045224</v>
      </c>
      <c r="P48">
        <f t="shared" si="1"/>
        <v>0.24236733285474799</v>
      </c>
      <c r="Q48">
        <f t="shared" si="2"/>
        <v>13.886625264419473</v>
      </c>
      <c r="R48">
        <v>-0.92500000000000004</v>
      </c>
      <c r="S48">
        <f t="shared" si="3"/>
        <v>0.97077253232407357</v>
      </c>
      <c r="T48">
        <v>110.8448512597667</v>
      </c>
      <c r="U48">
        <f t="shared" si="4"/>
        <v>114.18210504411275</v>
      </c>
      <c r="V48">
        <v>1.1499999999999999</v>
      </c>
      <c r="W48">
        <v>1.1499999999999999</v>
      </c>
      <c r="X48">
        <v>83992.499445920403</v>
      </c>
      <c r="Y48">
        <f t="shared" si="5"/>
        <v>86521.297883077248</v>
      </c>
      <c r="Z48">
        <v>54.797071024802463</v>
      </c>
      <c r="AA48">
        <v>1.1499999999999999</v>
      </c>
      <c r="AB48">
        <v>1.1499999999999999</v>
      </c>
      <c r="AC48">
        <v>329494.94161749462</v>
      </c>
      <c r="AD48">
        <v>37.762167792270169</v>
      </c>
      <c r="AE48">
        <v>1.1499999999999999</v>
      </c>
      <c r="AF48">
        <v>1.1499999999999999</v>
      </c>
      <c r="AG48">
        <v>682026.97901997017</v>
      </c>
      <c r="AH48">
        <v>26.032475864856821</v>
      </c>
      <c r="AI48">
        <v>1.1499999999999999</v>
      </c>
      <c r="AJ48">
        <v>1.1499999999999999</v>
      </c>
      <c r="AK48">
        <v>976318.0125828156</v>
      </c>
    </row>
    <row r="49" spans="1:37" x14ac:dyDescent="0.4">
      <c r="A49" t="s">
        <v>57</v>
      </c>
      <c r="B49">
        <v>-5.665526656454615</v>
      </c>
      <c r="C49">
        <v>900.47173471108636</v>
      </c>
      <c r="D49" t="s">
        <v>171</v>
      </c>
      <c r="E49">
        <v>2.9403036765867649</v>
      </c>
      <c r="F49">
        <v>917.13010356886014</v>
      </c>
      <c r="G49">
        <v>0.15247660671607921</v>
      </c>
      <c r="H49">
        <v>901.335594990922</v>
      </c>
      <c r="I49" t="s">
        <v>219</v>
      </c>
      <c r="J49" t="s">
        <v>380</v>
      </c>
      <c r="L49">
        <v>911.45807040629029</v>
      </c>
      <c r="M49">
        <v>-1.9290636593051691</v>
      </c>
      <c r="N49">
        <v>-0.9</v>
      </c>
      <c r="O49">
        <f t="shared" si="0"/>
        <v>3.7364629971494461</v>
      </c>
      <c r="P49">
        <f t="shared" si="1"/>
        <v>0.23636696942885549</v>
      </c>
      <c r="Q49">
        <f t="shared" si="2"/>
        <v>13.542829764571174</v>
      </c>
      <c r="R49">
        <v>-0.9</v>
      </c>
      <c r="S49">
        <f t="shared" si="3"/>
        <v>0.9721951435662074</v>
      </c>
      <c r="T49">
        <v>117.01261355208401</v>
      </c>
      <c r="U49">
        <f t="shared" si="4"/>
        <v>120.35918336606599</v>
      </c>
      <c r="V49">
        <v>1.175</v>
      </c>
      <c r="W49">
        <v>1.175</v>
      </c>
      <c r="X49">
        <v>89345.819023583856</v>
      </c>
      <c r="Y49">
        <f t="shared" si="5"/>
        <v>91901.116370367177</v>
      </c>
      <c r="Z49">
        <v>56.658638665073369</v>
      </c>
      <c r="AA49">
        <v>1.175</v>
      </c>
      <c r="AB49">
        <v>1.175</v>
      </c>
      <c r="AC49">
        <v>353192.12438763672</v>
      </c>
      <c r="AD49">
        <v>39.642911267314943</v>
      </c>
      <c r="AE49">
        <v>1.175</v>
      </c>
      <c r="AF49">
        <v>1.175</v>
      </c>
      <c r="AG49">
        <v>755598.63614827499</v>
      </c>
      <c r="AH49">
        <v>27.08088127238446</v>
      </c>
      <c r="AI49">
        <v>1.175</v>
      </c>
      <c r="AJ49">
        <v>1.175</v>
      </c>
      <c r="AK49">
        <v>1040870.353062883</v>
      </c>
    </row>
    <row r="50" spans="1:37" x14ac:dyDescent="0.4">
      <c r="A50" t="s">
        <v>58</v>
      </c>
      <c r="B50">
        <v>-5.6594619979567407</v>
      </c>
      <c r="C50">
        <v>900.78620912411941</v>
      </c>
      <c r="D50" t="s">
        <v>171</v>
      </c>
      <c r="E50">
        <v>2.8621973909199521</v>
      </c>
      <c r="F50">
        <v>916.98470648868181</v>
      </c>
      <c r="G50">
        <v>0.14801554711233969</v>
      </c>
      <c r="H50">
        <v>901.62389748810847</v>
      </c>
      <c r="I50" t="s">
        <v>220</v>
      </c>
      <c r="J50" t="s">
        <v>381</v>
      </c>
      <c r="L50">
        <v>911.45775452807391</v>
      </c>
      <c r="M50">
        <v>-1.9310171424000759</v>
      </c>
      <c r="N50">
        <v>-0.875</v>
      </c>
      <c r="O50">
        <f t="shared" si="0"/>
        <v>3.7284448555566647</v>
      </c>
      <c r="P50">
        <f t="shared" si="1"/>
        <v>0.23051086228709994</v>
      </c>
      <c r="Q50">
        <f t="shared" si="2"/>
        <v>13.207299540972162</v>
      </c>
      <c r="R50">
        <v>-0.875</v>
      </c>
      <c r="S50">
        <f t="shared" si="3"/>
        <v>0.97354980283750048</v>
      </c>
      <c r="T50">
        <v>117.27328138722881</v>
      </c>
      <c r="U50">
        <f t="shared" si="4"/>
        <v>120.45945779602137</v>
      </c>
      <c r="V50">
        <v>1.2</v>
      </c>
      <c r="W50">
        <v>1.2</v>
      </c>
      <c r="X50">
        <v>91089.556662621981</v>
      </c>
      <c r="Y50">
        <f t="shared" si="5"/>
        <v>93564.352226391595</v>
      </c>
      <c r="Z50">
        <v>58.47631499576957</v>
      </c>
      <c r="AA50">
        <v>1.2</v>
      </c>
      <c r="AB50">
        <v>1.2</v>
      </c>
      <c r="AC50">
        <v>389020.19325283071</v>
      </c>
      <c r="AD50">
        <v>39.990201017339402</v>
      </c>
      <c r="AE50">
        <v>1.2</v>
      </c>
      <c r="AF50">
        <v>1.2</v>
      </c>
      <c r="AG50">
        <v>785033.06483259273</v>
      </c>
      <c r="AH50">
        <v>28.411339208761781</v>
      </c>
      <c r="AI50">
        <v>1.2</v>
      </c>
      <c r="AJ50">
        <v>1.2</v>
      </c>
      <c r="AK50">
        <v>1131072.900369297</v>
      </c>
    </row>
    <row r="51" spans="1:37" x14ac:dyDescent="0.4">
      <c r="A51" t="s">
        <v>59</v>
      </c>
      <c r="B51">
        <v>-5.6673131001560879</v>
      </c>
      <c r="C51">
        <v>901.08239215606284</v>
      </c>
      <c r="D51" t="s">
        <v>171</v>
      </c>
      <c r="E51">
        <v>2.783926408733882</v>
      </c>
      <c r="F51">
        <v>916.85977476215089</v>
      </c>
      <c r="G51">
        <v>0.1493180743664351</v>
      </c>
      <c r="H51">
        <v>901.92862443500985</v>
      </c>
      <c r="I51" t="s">
        <v>221</v>
      </c>
      <c r="J51" t="s">
        <v>382</v>
      </c>
      <c r="L51">
        <v>911.45613818278821</v>
      </c>
      <c r="M51">
        <v>-1.941013093455725</v>
      </c>
      <c r="N51">
        <v>-0.85</v>
      </c>
      <c r="O51">
        <f t="shared" si="0"/>
        <v>3.7263000067003631</v>
      </c>
      <c r="P51">
        <f t="shared" si="1"/>
        <v>0.22427100058549976</v>
      </c>
      <c r="Q51">
        <f t="shared" si="2"/>
        <v>12.849781800725152</v>
      </c>
      <c r="R51">
        <v>-0.85</v>
      </c>
      <c r="S51">
        <f t="shared" si="3"/>
        <v>0.97495649243955262</v>
      </c>
      <c r="T51">
        <v>123.1128269561848</v>
      </c>
      <c r="U51">
        <f t="shared" si="4"/>
        <v>126.27520090473966</v>
      </c>
      <c r="V51">
        <v>1.2250000000000001</v>
      </c>
      <c r="W51">
        <v>1.2250000000000001</v>
      </c>
      <c r="X51">
        <v>96253.464564372611</v>
      </c>
      <c r="Y51">
        <f t="shared" si="5"/>
        <v>98725.907577194099</v>
      </c>
      <c r="Z51">
        <v>60.613722212947494</v>
      </c>
      <c r="AA51">
        <v>1.2250000000000001</v>
      </c>
      <c r="AB51">
        <v>1.2250000000000001</v>
      </c>
      <c r="AC51">
        <v>421146.40248021862</v>
      </c>
      <c r="AD51">
        <v>42.048242358780087</v>
      </c>
      <c r="AE51">
        <v>1.2250000000000001</v>
      </c>
      <c r="AF51">
        <v>1.2250000000000001</v>
      </c>
      <c r="AG51">
        <v>828230.43173918326</v>
      </c>
      <c r="AJ51">
        <v>1.2250000000000001</v>
      </c>
    </row>
    <row r="52" spans="1:37" x14ac:dyDescent="0.4">
      <c r="A52" t="s">
        <v>60</v>
      </c>
      <c r="B52">
        <v>-5.6928975816773839</v>
      </c>
      <c r="C52">
        <v>901.38102850098926</v>
      </c>
      <c r="D52" t="s">
        <v>171</v>
      </c>
      <c r="E52">
        <v>2.698416791079834</v>
      </c>
      <c r="F52">
        <v>916.74283892528524</v>
      </c>
      <c r="G52">
        <v>0.14769197887712071</v>
      </c>
      <c r="H52">
        <v>902.22182381037192</v>
      </c>
      <c r="I52" t="s">
        <v>222</v>
      </c>
      <c r="J52" t="s">
        <v>383</v>
      </c>
      <c r="L52">
        <v>911.45301230831024</v>
      </c>
      <c r="M52">
        <v>-1.960344413665388</v>
      </c>
      <c r="N52">
        <v>-0.82499999999999996</v>
      </c>
      <c r="O52">
        <f t="shared" si="0"/>
        <v>3.7325531680119957</v>
      </c>
      <c r="P52">
        <f t="shared" si="1"/>
        <v>0.21753095128880151</v>
      </c>
      <c r="Q52">
        <f t="shared" si="2"/>
        <v>12.463605422314222</v>
      </c>
      <c r="R52">
        <v>-0.82499999999999996</v>
      </c>
      <c r="S52">
        <f t="shared" si="3"/>
        <v>0.97643329372050525</v>
      </c>
      <c r="T52">
        <v>127.6822527070189</v>
      </c>
      <c r="U52">
        <f t="shared" si="4"/>
        <v>130.76392778508301</v>
      </c>
      <c r="V52">
        <v>1.25</v>
      </c>
      <c r="W52">
        <v>1.25</v>
      </c>
      <c r="X52">
        <v>97977.917739965589</v>
      </c>
      <c r="Y52">
        <f t="shared" si="5"/>
        <v>100342.66382564668</v>
      </c>
      <c r="Z52">
        <v>61.959483136105469</v>
      </c>
      <c r="AA52">
        <v>1.25</v>
      </c>
      <c r="AB52">
        <v>1.25</v>
      </c>
      <c r="AC52">
        <v>410873.3326446758</v>
      </c>
      <c r="AF52">
        <v>1.25</v>
      </c>
      <c r="AH52">
        <v>31.067963712594089</v>
      </c>
      <c r="AI52">
        <v>1.25</v>
      </c>
      <c r="AJ52">
        <v>1.25</v>
      </c>
      <c r="AK52">
        <v>1297668.4415627469</v>
      </c>
    </row>
    <row r="53" spans="1:37" x14ac:dyDescent="0.4">
      <c r="A53" t="s">
        <v>61</v>
      </c>
      <c r="B53">
        <v>-5.6696598618960543</v>
      </c>
      <c r="C53">
        <v>901.61243575967887</v>
      </c>
      <c r="D53" t="s">
        <v>171</v>
      </c>
      <c r="E53">
        <v>2.636948529818953</v>
      </c>
      <c r="F53">
        <v>916.56303699707917</v>
      </c>
      <c r="G53">
        <v>0.14967619240170971</v>
      </c>
      <c r="H53">
        <v>902.46104886002024</v>
      </c>
      <c r="I53" t="s">
        <v>223</v>
      </c>
      <c r="J53" t="s">
        <v>384</v>
      </c>
      <c r="L53">
        <v>911.45688641712411</v>
      </c>
      <c r="M53">
        <v>-1.9363857939140781</v>
      </c>
      <c r="N53">
        <v>-0.8</v>
      </c>
      <c r="O53">
        <f t="shared" si="0"/>
        <v>3.7332740679819763</v>
      </c>
      <c r="P53">
        <f t="shared" si="1"/>
        <v>0.2110965856389535</v>
      </c>
      <c r="Q53">
        <f t="shared" si="2"/>
        <v>12.09494342673398</v>
      </c>
      <c r="R53">
        <v>-0.8</v>
      </c>
      <c r="S53">
        <f t="shared" si="3"/>
        <v>0.97780173259643377</v>
      </c>
      <c r="T53">
        <v>127.4551344290891</v>
      </c>
      <c r="U53">
        <f t="shared" si="4"/>
        <v>130.34864858609677</v>
      </c>
      <c r="V53">
        <v>1.2749999999999999</v>
      </c>
      <c r="W53">
        <v>1.2749999999999999</v>
      </c>
      <c r="X53">
        <v>97833.359129939141</v>
      </c>
      <c r="Y53">
        <f t="shared" si="5"/>
        <v>100054.39330748018</v>
      </c>
      <c r="AB53">
        <v>1.2749999999999999</v>
      </c>
      <c r="AD53">
        <v>44.718630799001133</v>
      </c>
      <c r="AE53">
        <v>1.2749999999999999</v>
      </c>
      <c r="AF53">
        <v>1.2749999999999999</v>
      </c>
      <c r="AG53">
        <v>871842.66199866333</v>
      </c>
      <c r="AH53">
        <v>32.458012229185861</v>
      </c>
      <c r="AI53">
        <v>1.2749999999999999</v>
      </c>
      <c r="AJ53">
        <v>1.2749999999999999</v>
      </c>
      <c r="AK53">
        <v>1347666.8892595039</v>
      </c>
    </row>
    <row r="54" spans="1:37" x14ac:dyDescent="0.4">
      <c r="A54" t="s">
        <v>62</v>
      </c>
      <c r="B54">
        <v>-5.416266541081904</v>
      </c>
      <c r="C54">
        <v>901.9628041796758</v>
      </c>
      <c r="D54" t="s">
        <v>171</v>
      </c>
      <c r="E54">
        <v>2.634636560755244</v>
      </c>
      <c r="F54">
        <v>916.23269803160554</v>
      </c>
      <c r="G54">
        <v>0.14723458085531879</v>
      </c>
      <c r="H54">
        <v>902.76026591365269</v>
      </c>
      <c r="I54" t="s">
        <v>224</v>
      </c>
      <c r="J54" t="s">
        <v>385</v>
      </c>
      <c r="L54">
        <v>911.47819383324361</v>
      </c>
      <c r="M54">
        <v>-1.8046145130264319</v>
      </c>
      <c r="N54">
        <v>-0.77500000000000002</v>
      </c>
      <c r="O54">
        <f t="shared" si="0"/>
        <v>3.611652028055472</v>
      </c>
      <c r="P54">
        <f t="shared" si="1"/>
        <v>0.21137778109195682</v>
      </c>
      <c r="Q54">
        <f t="shared" si="2"/>
        <v>12.11105473940934</v>
      </c>
      <c r="R54">
        <v>-0.77500000000000002</v>
      </c>
      <c r="S54">
        <f t="shared" si="3"/>
        <v>0.97774277441810109</v>
      </c>
      <c r="T54">
        <v>134.42961877085321</v>
      </c>
      <c r="U54">
        <f t="shared" si="4"/>
        <v>137.48975936013267</v>
      </c>
      <c r="V54">
        <v>1.3</v>
      </c>
      <c r="W54">
        <v>1.3</v>
      </c>
      <c r="X54">
        <v>100565.31944830769</v>
      </c>
      <c r="Y54">
        <f t="shared" si="5"/>
        <v>102854.57697006113</v>
      </c>
      <c r="Z54">
        <v>65.370385935237309</v>
      </c>
      <c r="AA54">
        <v>1.3</v>
      </c>
      <c r="AB54">
        <v>1.3</v>
      </c>
      <c r="AC54">
        <v>451817.69684113353</v>
      </c>
      <c r="AD54">
        <v>45.710681185245569</v>
      </c>
      <c r="AE54">
        <v>1.3</v>
      </c>
      <c r="AF54">
        <v>1.3</v>
      </c>
      <c r="AG54">
        <v>919678.55675160373</v>
      </c>
      <c r="AH54">
        <v>33.296565161681528</v>
      </c>
      <c r="AI54">
        <v>1.3</v>
      </c>
      <c r="AJ54">
        <v>1.3</v>
      </c>
      <c r="AK54">
        <v>1372177.0203389919</v>
      </c>
    </row>
    <row r="55" spans="1:37" x14ac:dyDescent="0.4">
      <c r="A55" t="s">
        <v>63</v>
      </c>
      <c r="B55">
        <v>-5.6900827850035984</v>
      </c>
      <c r="C55">
        <v>902.20127367685802</v>
      </c>
      <c r="D55" t="s">
        <v>171</v>
      </c>
      <c r="E55">
        <v>2.4758035954998361</v>
      </c>
      <c r="F55">
        <v>916.28880109466161</v>
      </c>
      <c r="G55">
        <v>0.14632271921808451</v>
      </c>
      <c r="H55">
        <v>903.03386206253572</v>
      </c>
      <c r="I55" t="s">
        <v>225</v>
      </c>
      <c r="J55" t="s">
        <v>386</v>
      </c>
      <c r="L55">
        <v>911.45424490787798</v>
      </c>
      <c r="M55">
        <v>-1.9527216581450331</v>
      </c>
      <c r="N55">
        <v>-0.75</v>
      </c>
      <c r="O55">
        <f t="shared" si="0"/>
        <v>3.7373611268585654</v>
      </c>
      <c r="P55">
        <f t="shared" si="1"/>
        <v>0.19804581440291114</v>
      </c>
      <c r="Q55">
        <f t="shared" si="2"/>
        <v>11.347189315518019</v>
      </c>
      <c r="R55">
        <v>-0.75</v>
      </c>
      <c r="S55">
        <f t="shared" si="3"/>
        <v>0.98045294298017227</v>
      </c>
      <c r="T55">
        <v>137.92774409741921</v>
      </c>
      <c r="U55">
        <f t="shared" si="4"/>
        <v>140.67757671079633</v>
      </c>
      <c r="V55">
        <v>1.325</v>
      </c>
      <c r="W55">
        <v>1.325</v>
      </c>
      <c r="X55">
        <v>98749.48005518518</v>
      </c>
      <c r="Y55">
        <f t="shared" si="5"/>
        <v>100718.22494104359</v>
      </c>
      <c r="Z55">
        <v>65.944589971307636</v>
      </c>
      <c r="AA55">
        <v>1.325</v>
      </c>
      <c r="AB55">
        <v>1.325</v>
      </c>
      <c r="AC55">
        <v>471548.97024129698</v>
      </c>
      <c r="AF55">
        <v>1.325</v>
      </c>
      <c r="AH55">
        <v>33.397270537986799</v>
      </c>
      <c r="AI55">
        <v>1.325</v>
      </c>
      <c r="AJ55">
        <v>1.325</v>
      </c>
      <c r="AK55">
        <v>1329465.2816478731</v>
      </c>
    </row>
    <row r="56" spans="1:37" x14ac:dyDescent="0.4">
      <c r="A56" t="s">
        <v>64</v>
      </c>
      <c r="B56">
        <v>-5.611326206518422</v>
      </c>
      <c r="C56">
        <v>902.54832844948839</v>
      </c>
      <c r="D56" t="s">
        <v>171</v>
      </c>
      <c r="E56">
        <v>2.4066037838140941</v>
      </c>
      <c r="F56">
        <v>916.05256733031081</v>
      </c>
      <c r="G56">
        <v>0.14348082189037931</v>
      </c>
      <c r="H56">
        <v>903.35344614549467</v>
      </c>
      <c r="I56" t="s">
        <v>226</v>
      </c>
      <c r="J56" t="s">
        <v>387</v>
      </c>
      <c r="L56">
        <v>911.46152752906141</v>
      </c>
      <c r="M56">
        <v>-1.9076838029599359</v>
      </c>
      <c r="N56">
        <v>-0.72499999999999998</v>
      </c>
      <c r="O56">
        <f t="shared" si="0"/>
        <v>3.7036424035584861</v>
      </c>
      <c r="P56">
        <f t="shared" si="1"/>
        <v>0.19330882185251208</v>
      </c>
      <c r="Q56">
        <f t="shared" si="2"/>
        <v>11.075779634795243</v>
      </c>
      <c r="R56">
        <v>-0.72499999999999998</v>
      </c>
      <c r="S56">
        <f t="shared" si="3"/>
        <v>0.98137396018421008</v>
      </c>
      <c r="T56">
        <v>139.17021617477641</v>
      </c>
      <c r="U56">
        <f t="shared" si="4"/>
        <v>141.81160477159318</v>
      </c>
      <c r="V56">
        <v>1.35</v>
      </c>
      <c r="W56">
        <v>1.35</v>
      </c>
      <c r="X56">
        <v>98165.568842644148</v>
      </c>
      <c r="Y56">
        <f t="shared" si="5"/>
        <v>100028.70753185448</v>
      </c>
      <c r="AB56">
        <v>1.35</v>
      </c>
      <c r="AF56">
        <v>1.35</v>
      </c>
      <c r="AH56">
        <v>34.140566167348197</v>
      </c>
      <c r="AI56">
        <v>1.35</v>
      </c>
      <c r="AJ56">
        <v>1.35</v>
      </c>
      <c r="AK56">
        <v>1393708.130053438</v>
      </c>
    </row>
    <row r="57" spans="1:37" x14ac:dyDescent="0.4">
      <c r="A57" t="s">
        <v>65</v>
      </c>
      <c r="B57">
        <v>-5.6730828775071496</v>
      </c>
      <c r="C57">
        <v>902.79615821786831</v>
      </c>
      <c r="D57" t="s">
        <v>171</v>
      </c>
      <c r="E57">
        <v>2.3226875333685428</v>
      </c>
      <c r="F57">
        <v>915.97295709322066</v>
      </c>
      <c r="G57">
        <v>0.14349864732846171</v>
      </c>
      <c r="H57">
        <v>903.61023793697279</v>
      </c>
      <c r="I57" t="s">
        <v>227</v>
      </c>
      <c r="J57" t="s">
        <v>388</v>
      </c>
      <c r="L57">
        <v>911.45550582099486</v>
      </c>
      <c r="M57">
        <v>-1.9449238033714069</v>
      </c>
      <c r="N57">
        <v>-0.7</v>
      </c>
      <c r="O57">
        <f t="shared" si="0"/>
        <v>3.7281590741357427</v>
      </c>
      <c r="P57">
        <f t="shared" si="1"/>
        <v>0.18559932878464314</v>
      </c>
      <c r="Q57">
        <f t="shared" si="2"/>
        <v>10.634058219820986</v>
      </c>
      <c r="R57">
        <v>-0.7</v>
      </c>
      <c r="S57">
        <f t="shared" si="3"/>
        <v>0.98282582965156851</v>
      </c>
      <c r="T57">
        <v>138.6324606282665</v>
      </c>
      <c r="U57">
        <f t="shared" si="4"/>
        <v>141.05496258417881</v>
      </c>
      <c r="V57">
        <v>1.375</v>
      </c>
      <c r="W57">
        <v>1.375</v>
      </c>
      <c r="X57">
        <v>98127.139773902221</v>
      </c>
      <c r="Y57">
        <f t="shared" si="5"/>
        <v>99841.840551433474</v>
      </c>
      <c r="Z57">
        <v>71.785815088945583</v>
      </c>
      <c r="AA57">
        <v>1.375</v>
      </c>
      <c r="AB57">
        <v>1.375</v>
      </c>
      <c r="AC57">
        <v>497475.15809537901</v>
      </c>
      <c r="AD57">
        <v>48.232760764434531</v>
      </c>
      <c r="AE57">
        <v>1.375</v>
      </c>
      <c r="AF57">
        <v>1.375</v>
      </c>
      <c r="AG57">
        <v>949240.31571154285</v>
      </c>
      <c r="AH57">
        <v>34.854664536157941</v>
      </c>
      <c r="AI57">
        <v>1.375</v>
      </c>
      <c r="AJ57">
        <v>1.375</v>
      </c>
      <c r="AK57">
        <v>1407036.4120854731</v>
      </c>
    </row>
    <row r="58" spans="1:37" x14ac:dyDescent="0.4">
      <c r="A58" t="s">
        <v>66</v>
      </c>
      <c r="B58">
        <v>-5.7617143029523437</v>
      </c>
      <c r="C58">
        <v>903.0370290154076</v>
      </c>
      <c r="D58" t="s">
        <v>171</v>
      </c>
      <c r="E58">
        <v>2.2267553301734608</v>
      </c>
      <c r="F58">
        <v>915.86695705044338</v>
      </c>
      <c r="G58">
        <v>0.14320926416951621</v>
      </c>
      <c r="H58">
        <v>903.86215988108836</v>
      </c>
      <c r="I58" t="s">
        <v>228</v>
      </c>
      <c r="J58" t="s">
        <v>389</v>
      </c>
      <c r="L58">
        <v>911.44919597933222</v>
      </c>
      <c r="M58">
        <v>-1.983945706046558</v>
      </c>
      <c r="N58">
        <v>-0.67500000000000004</v>
      </c>
      <c r="O58">
        <f t="shared" si="0"/>
        <v>3.7777685969057857</v>
      </c>
      <c r="P58">
        <f t="shared" si="1"/>
        <v>0.17681107098325421</v>
      </c>
      <c r="Q58">
        <f t="shared" si="2"/>
        <v>10.130528138528481</v>
      </c>
      <c r="R58">
        <v>-0.67500000000000004</v>
      </c>
      <c r="S58">
        <f t="shared" si="3"/>
        <v>0.98440960194106142</v>
      </c>
      <c r="T58">
        <v>137.47153928824511</v>
      </c>
      <c r="U58">
        <f t="shared" si="4"/>
        <v>139.64871839646665</v>
      </c>
      <c r="V58">
        <v>1.4</v>
      </c>
      <c r="W58">
        <v>1.4</v>
      </c>
      <c r="X58">
        <v>98688.297370370477</v>
      </c>
      <c r="Y58">
        <f t="shared" si="5"/>
        <v>100251.25433130338</v>
      </c>
      <c r="Z58">
        <v>72.128782073447127</v>
      </c>
      <c r="AA58">
        <v>1.4</v>
      </c>
      <c r="AB58">
        <v>1.4</v>
      </c>
      <c r="AC58">
        <v>487389.09867927787</v>
      </c>
      <c r="AD58">
        <v>47.981406666782632</v>
      </c>
      <c r="AE58">
        <v>1.4</v>
      </c>
      <c r="AF58">
        <v>1.4</v>
      </c>
      <c r="AG58">
        <v>911794.83674966462</v>
      </c>
      <c r="AH58">
        <v>35.770915919295177</v>
      </c>
      <c r="AI58">
        <v>1.4</v>
      </c>
      <c r="AJ58">
        <v>1.4</v>
      </c>
      <c r="AK58">
        <v>1438087.9191701291</v>
      </c>
    </row>
    <row r="59" spans="1:37" x14ac:dyDescent="0.4">
      <c r="A59" t="s">
        <v>67</v>
      </c>
      <c r="B59">
        <v>-5.7986967953403834</v>
      </c>
      <c r="C59">
        <v>903.3097186213887</v>
      </c>
      <c r="D59" t="s">
        <v>171</v>
      </c>
      <c r="E59">
        <v>2.1332032584838698</v>
      </c>
      <c r="F59">
        <v>915.67951752016882</v>
      </c>
      <c r="G59">
        <v>0.14231071305310919</v>
      </c>
      <c r="H59">
        <v>904.13493529711241</v>
      </c>
      <c r="I59" t="s">
        <v>229</v>
      </c>
      <c r="J59" t="s">
        <v>390</v>
      </c>
      <c r="L59">
        <v>911.44934664030438</v>
      </c>
      <c r="M59">
        <v>-1.9830139746173601</v>
      </c>
      <c r="N59">
        <v>-0.65</v>
      </c>
      <c r="O59">
        <f t="shared" si="0"/>
        <v>3.8156828207230236</v>
      </c>
      <c r="P59">
        <f t="shared" si="1"/>
        <v>0.16872990709975322</v>
      </c>
      <c r="Q59">
        <f t="shared" si="2"/>
        <v>9.667511554450325</v>
      </c>
      <c r="R59">
        <v>-0.65</v>
      </c>
      <c r="S59">
        <f t="shared" si="3"/>
        <v>0.98579884921117156</v>
      </c>
      <c r="T59">
        <v>146.23222438900831</v>
      </c>
      <c r="U59">
        <f t="shared" si="4"/>
        <v>148.3388061428781</v>
      </c>
      <c r="V59">
        <v>1.425</v>
      </c>
      <c r="W59">
        <v>1.425</v>
      </c>
      <c r="X59">
        <v>100780.0237290239</v>
      </c>
      <c r="Y59">
        <f t="shared" si="5"/>
        <v>102231.83341070775</v>
      </c>
      <c r="Z59">
        <v>75.683468538222783</v>
      </c>
      <c r="AA59">
        <v>1.425</v>
      </c>
      <c r="AB59">
        <v>1.425</v>
      </c>
      <c r="AC59">
        <v>502814.13718274358</v>
      </c>
      <c r="AD59">
        <v>50.274269640588713</v>
      </c>
      <c r="AE59">
        <v>1.425</v>
      </c>
      <c r="AF59">
        <v>1.425</v>
      </c>
      <c r="AG59">
        <v>948154.11721978674</v>
      </c>
      <c r="AH59">
        <v>36.989437351503867</v>
      </c>
      <c r="AI59">
        <v>1.425</v>
      </c>
      <c r="AJ59">
        <v>1.425</v>
      </c>
      <c r="AK59">
        <v>1492070.755753679</v>
      </c>
    </row>
    <row r="60" spans="1:37" x14ac:dyDescent="0.4">
      <c r="A60" t="s">
        <v>68</v>
      </c>
      <c r="B60">
        <v>-5.6250521234492572</v>
      </c>
      <c r="C60">
        <v>903.57219769402184</v>
      </c>
      <c r="D60" t="s">
        <v>171</v>
      </c>
      <c r="E60">
        <v>2.0998108419638148</v>
      </c>
      <c r="F60">
        <v>915.38374312945211</v>
      </c>
      <c r="G60">
        <v>0.14472577752116661</v>
      </c>
      <c r="H60">
        <v>904.38628773618507</v>
      </c>
      <c r="I60" t="s">
        <v>230</v>
      </c>
      <c r="J60" t="s">
        <v>391</v>
      </c>
      <c r="L60">
        <v>911.46849908333422</v>
      </c>
      <c r="M60">
        <v>-1.8645696763498061</v>
      </c>
      <c r="N60">
        <v>-0.625</v>
      </c>
      <c r="O60">
        <f t="shared" si="0"/>
        <v>3.7604824470994513</v>
      </c>
      <c r="P60">
        <f t="shared" si="1"/>
        <v>0.16469661194991492</v>
      </c>
      <c r="Q60">
        <f t="shared" si="2"/>
        <v>9.4364207648340042</v>
      </c>
      <c r="R60">
        <v>-0.625</v>
      </c>
      <c r="S60">
        <f t="shared" si="3"/>
        <v>0.98646814214290679</v>
      </c>
      <c r="T60">
        <v>141.33293567171441</v>
      </c>
      <c r="U60">
        <f t="shared" si="4"/>
        <v>143.27166751142778</v>
      </c>
      <c r="V60">
        <v>1.45</v>
      </c>
      <c r="W60">
        <v>1.45</v>
      </c>
      <c r="X60">
        <v>102380.24058232149</v>
      </c>
      <c r="Y60">
        <f t="shared" si="5"/>
        <v>103784.63957276987</v>
      </c>
      <c r="AB60">
        <v>1.45</v>
      </c>
      <c r="AD60">
        <v>51.484788053929719</v>
      </c>
      <c r="AE60">
        <v>1.45</v>
      </c>
      <c r="AF60">
        <v>1.45</v>
      </c>
      <c r="AG60">
        <v>972394.93881806242</v>
      </c>
      <c r="AH60">
        <v>38.833499185111577</v>
      </c>
      <c r="AI60">
        <v>1.45</v>
      </c>
      <c r="AJ60">
        <v>1.45</v>
      </c>
      <c r="AK60">
        <v>1615650.005000239</v>
      </c>
    </row>
    <row r="61" spans="1:37" x14ac:dyDescent="0.4">
      <c r="A61" t="s">
        <v>69</v>
      </c>
      <c r="B61">
        <v>-6.036386426330048</v>
      </c>
      <c r="C61">
        <v>903.79693083051086</v>
      </c>
      <c r="D61" t="s">
        <v>171</v>
      </c>
      <c r="E61">
        <v>1.966371156937138</v>
      </c>
      <c r="F61">
        <v>915.66670699137308</v>
      </c>
      <c r="G61">
        <v>0.14268457290155051</v>
      </c>
      <c r="H61">
        <v>904.65823004962044</v>
      </c>
      <c r="I61" t="s">
        <v>231</v>
      </c>
      <c r="J61" t="s">
        <v>392</v>
      </c>
      <c r="L61">
        <v>911.42085186058841</v>
      </c>
      <c r="M61">
        <v>-2.159234009966355</v>
      </c>
      <c r="N61">
        <v>-0.6</v>
      </c>
      <c r="O61">
        <f t="shared" si="0"/>
        <v>3.877152416363693</v>
      </c>
      <c r="P61">
        <f t="shared" si="1"/>
        <v>0.15353484225663316</v>
      </c>
      <c r="Q61">
        <f t="shared" si="2"/>
        <v>8.7968984695119286</v>
      </c>
      <c r="R61">
        <v>-0.6</v>
      </c>
      <c r="S61">
        <f t="shared" si="3"/>
        <v>0.98823666141554112</v>
      </c>
      <c r="U61">
        <f t="shared" si="4"/>
        <v>0</v>
      </c>
      <c r="W61">
        <v>1.4750000000000001</v>
      </c>
      <c r="Y61">
        <f t="shared" si="5"/>
        <v>0</v>
      </c>
      <c r="Z61">
        <v>79.363853559968945</v>
      </c>
      <c r="AA61">
        <v>1.4750000000000001</v>
      </c>
      <c r="AB61">
        <v>1.4750000000000001</v>
      </c>
      <c r="AC61">
        <v>553284.78147934983</v>
      </c>
      <c r="AD61">
        <v>50.571772435149853</v>
      </c>
      <c r="AE61">
        <v>1.4750000000000001</v>
      </c>
      <c r="AF61">
        <v>1.4750000000000001</v>
      </c>
      <c r="AG61">
        <v>1033706.95321872</v>
      </c>
      <c r="AH61">
        <v>39.243628728790817</v>
      </c>
      <c r="AI61">
        <v>1.4750000000000001</v>
      </c>
      <c r="AJ61">
        <v>1.4750000000000001</v>
      </c>
      <c r="AK61">
        <v>1622107.661191202</v>
      </c>
    </row>
    <row r="62" spans="1:37" x14ac:dyDescent="0.4">
      <c r="A62" t="s">
        <v>70</v>
      </c>
      <c r="B62">
        <v>-6.0487752760856974</v>
      </c>
      <c r="C62">
        <v>904.04072238652316</v>
      </c>
      <c r="D62" t="s">
        <v>171</v>
      </c>
      <c r="E62">
        <v>1.8909355615310131</v>
      </c>
      <c r="F62">
        <v>915.47856665978316</v>
      </c>
      <c r="G62">
        <v>0.1419740915580851</v>
      </c>
      <c r="H62">
        <v>904.89949176138441</v>
      </c>
      <c r="I62" t="s">
        <v>232</v>
      </c>
      <c r="J62" t="s">
        <v>393</v>
      </c>
      <c r="L62">
        <v>911.4232137406924</v>
      </c>
      <c r="M62">
        <v>-2.1446274539739032</v>
      </c>
      <c r="N62">
        <v>-0.57499999999999996</v>
      </c>
      <c r="O62">
        <f t="shared" si="0"/>
        <v>3.9041478221117942</v>
      </c>
      <c r="P62">
        <f t="shared" si="1"/>
        <v>0.14622802047811345</v>
      </c>
      <c r="Q62">
        <f t="shared" si="2"/>
        <v>8.3782484199484752</v>
      </c>
      <c r="R62">
        <v>-0.57499999999999996</v>
      </c>
      <c r="S62">
        <f t="shared" si="3"/>
        <v>0.98932772015004877</v>
      </c>
      <c r="U62">
        <f t="shared" si="4"/>
        <v>0</v>
      </c>
      <c r="W62">
        <v>1.5</v>
      </c>
      <c r="Y62">
        <f t="shared" si="5"/>
        <v>0</v>
      </c>
      <c r="Z62">
        <v>80.671525948639044</v>
      </c>
      <c r="AA62">
        <v>1.5</v>
      </c>
      <c r="AB62">
        <v>1.5</v>
      </c>
      <c r="AC62">
        <v>564709.23313566076</v>
      </c>
      <c r="AD62">
        <v>51.905453976094108</v>
      </c>
      <c r="AE62">
        <v>1.5</v>
      </c>
      <c r="AF62">
        <v>1.5</v>
      </c>
      <c r="AG62">
        <v>1062706.6717982851</v>
      </c>
      <c r="AJ62">
        <v>1.5</v>
      </c>
    </row>
    <row r="63" spans="1:37" x14ac:dyDescent="0.4">
      <c r="A63" t="s">
        <v>71</v>
      </c>
      <c r="B63">
        <v>-5.9612299040968049</v>
      </c>
      <c r="C63">
        <v>904.29608753943228</v>
      </c>
      <c r="D63" t="s">
        <v>171</v>
      </c>
      <c r="E63">
        <v>1.836925698694772</v>
      </c>
      <c r="F63">
        <v>915.24642394609543</v>
      </c>
      <c r="G63">
        <v>0.1446609410096111</v>
      </c>
      <c r="H63">
        <v>905.15844466693352</v>
      </c>
      <c r="I63" t="s">
        <v>233</v>
      </c>
      <c r="J63" t="s">
        <v>394</v>
      </c>
      <c r="L63">
        <v>911.43444064215805</v>
      </c>
      <c r="M63">
        <v>-2.0751970181934052</v>
      </c>
      <c r="N63">
        <v>-0.55000000000000004</v>
      </c>
      <c r="O63">
        <f t="shared" si="0"/>
        <v>3.8860328859033997</v>
      </c>
      <c r="P63">
        <f t="shared" si="1"/>
        <v>0.14059867730640718</v>
      </c>
      <c r="Q63">
        <f t="shared" si="2"/>
        <v>8.0557108147789176</v>
      </c>
      <c r="R63">
        <v>-0.55000000000000004</v>
      </c>
      <c r="S63">
        <f t="shared" si="3"/>
        <v>0.99013227746773591</v>
      </c>
      <c r="T63">
        <v>139.11456289438109</v>
      </c>
      <c r="U63">
        <f t="shared" si="4"/>
        <v>140.50098765608035</v>
      </c>
      <c r="V63">
        <v>1.5249999999999999</v>
      </c>
      <c r="W63">
        <v>1.5249999999999999</v>
      </c>
      <c r="X63">
        <v>121444.0698863146</v>
      </c>
      <c r="Y63">
        <f t="shared" si="5"/>
        <v>122654.38936796192</v>
      </c>
      <c r="AA63">
        <v>1.5249999999999999</v>
      </c>
      <c r="AB63">
        <v>1.5249999999999999</v>
      </c>
      <c r="AD63">
        <v>52.134371095129232</v>
      </c>
      <c r="AE63">
        <v>1.5249999999999999</v>
      </c>
      <c r="AF63">
        <v>1.5249999999999999</v>
      </c>
      <c r="AG63">
        <v>1061284.2436830809</v>
      </c>
      <c r="AI63">
        <v>1.5249999999999999</v>
      </c>
      <c r="AJ63">
        <v>1.5249999999999999</v>
      </c>
    </row>
    <row r="64" spans="1:37" x14ac:dyDescent="0.4">
      <c r="A64" t="s">
        <v>72</v>
      </c>
      <c r="B64">
        <v>-6.1510065406769083</v>
      </c>
      <c r="C64">
        <v>904.53911658532115</v>
      </c>
      <c r="D64" t="s">
        <v>171</v>
      </c>
      <c r="E64">
        <v>1.7289140744893221</v>
      </c>
      <c r="F64">
        <v>915.1736783657733</v>
      </c>
      <c r="G64">
        <v>0.14597695137315711</v>
      </c>
      <c r="H64">
        <v>905.43702176800548</v>
      </c>
      <c r="I64" t="s">
        <v>234</v>
      </c>
      <c r="J64" t="s">
        <v>395</v>
      </c>
      <c r="L64">
        <v>911.41881966814992</v>
      </c>
      <c r="M64">
        <v>-2.171801681199895</v>
      </c>
      <c r="N64">
        <v>-0.52500000000000002</v>
      </c>
      <c r="O64">
        <f t="shared" si="0"/>
        <v>3.9792048594770133</v>
      </c>
      <c r="P64">
        <f t="shared" si="1"/>
        <v>0.13117826405569866</v>
      </c>
      <c r="Q64">
        <f t="shared" si="2"/>
        <v>7.515960894244202</v>
      </c>
      <c r="R64">
        <v>-0.52500000000000002</v>
      </c>
      <c r="S64">
        <f t="shared" si="3"/>
        <v>0.99140846220381507</v>
      </c>
      <c r="T64">
        <v>141.83395359731861</v>
      </c>
      <c r="U64">
        <f t="shared" si="4"/>
        <v>143.06308550366217</v>
      </c>
      <c r="V64">
        <v>1.55</v>
      </c>
      <c r="W64">
        <v>1.55</v>
      </c>
      <c r="X64">
        <v>116702.4472561619</v>
      </c>
      <c r="Y64">
        <f t="shared" si="5"/>
        <v>117713.78972975728</v>
      </c>
      <c r="Z64">
        <v>85.7992905653321</v>
      </c>
      <c r="AA64">
        <v>1.55</v>
      </c>
      <c r="AB64">
        <v>1.55</v>
      </c>
      <c r="AC64">
        <v>580472.23934963008</v>
      </c>
      <c r="AD64">
        <v>52.462215984647102</v>
      </c>
      <c r="AE64">
        <v>1.55</v>
      </c>
      <c r="AF64">
        <v>1.55</v>
      </c>
      <c r="AG64">
        <v>1040963.71954688</v>
      </c>
      <c r="AH64">
        <v>42.032387594887673</v>
      </c>
      <c r="AI64">
        <v>1.55</v>
      </c>
      <c r="AJ64">
        <v>1.55</v>
      </c>
      <c r="AK64">
        <v>1754203.9476148491</v>
      </c>
    </row>
    <row r="65" spans="1:37" x14ac:dyDescent="0.4">
      <c r="A65" t="s">
        <v>73</v>
      </c>
      <c r="B65">
        <v>-6.0110992840109976</v>
      </c>
      <c r="C65">
        <v>904.83978211120245</v>
      </c>
      <c r="D65" t="s">
        <v>171</v>
      </c>
      <c r="E65">
        <v>1.673235216297865</v>
      </c>
      <c r="F65">
        <v>914.89776512187257</v>
      </c>
      <c r="G65">
        <v>0.1456607953731924</v>
      </c>
      <c r="H65">
        <v>905.71536361397875</v>
      </c>
      <c r="I65" t="s">
        <v>235</v>
      </c>
      <c r="J65" t="s">
        <v>396</v>
      </c>
      <c r="L65">
        <v>911.43540000694657</v>
      </c>
      <c r="M65">
        <v>-2.0692640263044311</v>
      </c>
      <c r="N65">
        <v>-0.5</v>
      </c>
      <c r="O65">
        <f t="shared" si="0"/>
        <v>3.9418352577065665</v>
      </c>
      <c r="P65">
        <f t="shared" si="1"/>
        <v>0.12617067288764461</v>
      </c>
      <c r="Q65">
        <f t="shared" si="2"/>
        <v>7.2290470547877188</v>
      </c>
      <c r="R65">
        <v>-0.5</v>
      </c>
      <c r="S65">
        <f t="shared" si="3"/>
        <v>0.99205103404154193</v>
      </c>
      <c r="T65">
        <v>142.90870064866371</v>
      </c>
      <c r="U65">
        <f t="shared" si="4"/>
        <v>144.05377923599789</v>
      </c>
      <c r="V65">
        <v>1.575</v>
      </c>
      <c r="W65">
        <v>1.575</v>
      </c>
      <c r="X65">
        <v>118631.34825159061</v>
      </c>
      <c r="Y65">
        <f t="shared" si="5"/>
        <v>119581.90070957877</v>
      </c>
      <c r="Z65">
        <v>87.082932565225875</v>
      </c>
      <c r="AA65">
        <v>1.575</v>
      </c>
      <c r="AB65">
        <v>1.575</v>
      </c>
      <c r="AC65">
        <v>560678.84514884034</v>
      </c>
      <c r="AD65">
        <v>52.970839810281937</v>
      </c>
      <c r="AE65">
        <v>1.575</v>
      </c>
      <c r="AF65">
        <v>1.575</v>
      </c>
      <c r="AG65">
        <v>1033899.683034625</v>
      </c>
      <c r="AH65">
        <v>42.359968476722138</v>
      </c>
      <c r="AI65">
        <v>1.575</v>
      </c>
      <c r="AJ65">
        <v>1.575</v>
      </c>
      <c r="AK65">
        <v>1712318.440730677</v>
      </c>
    </row>
    <row r="66" spans="1:37" x14ac:dyDescent="0.4">
      <c r="A66" t="s">
        <v>74</v>
      </c>
      <c r="B66">
        <v>-6.1168629078381018</v>
      </c>
      <c r="C66">
        <v>905.06937367060152</v>
      </c>
      <c r="D66" t="s">
        <v>171</v>
      </c>
      <c r="E66">
        <v>1.5799248595618089</v>
      </c>
      <c r="F66">
        <v>914.73355744122648</v>
      </c>
      <c r="G66">
        <v>0.1479296500553553</v>
      </c>
      <c r="H66">
        <v>905.9742390599946</v>
      </c>
      <c r="I66" t="s">
        <v>236</v>
      </c>
      <c r="J66" t="s">
        <v>397</v>
      </c>
      <c r="L66">
        <v>911.43210779890353</v>
      </c>
      <c r="M66">
        <v>-2.089624001833303</v>
      </c>
      <c r="N66">
        <v>-0.47499999999999998</v>
      </c>
      <c r="O66">
        <f t="shared" si="0"/>
        <v>4.0272389060047988</v>
      </c>
      <c r="P66">
        <f t="shared" si="1"/>
        <v>0.1174043976756296</v>
      </c>
      <c r="Q66">
        <f t="shared" si="2"/>
        <v>6.7267764830891084</v>
      </c>
      <c r="R66">
        <v>-0.47499999999999998</v>
      </c>
      <c r="S66">
        <f t="shared" si="3"/>
        <v>0.99311601643927949</v>
      </c>
      <c r="T66">
        <v>142.57186555232511</v>
      </c>
      <c r="U66">
        <f t="shared" si="4"/>
        <v>143.56013113503357</v>
      </c>
      <c r="V66">
        <v>1.6</v>
      </c>
      <c r="W66">
        <v>1.6</v>
      </c>
      <c r="X66">
        <v>117351.24566052121</v>
      </c>
      <c r="Y66">
        <f t="shared" si="5"/>
        <v>118164.68944008439</v>
      </c>
      <c r="Z66">
        <v>89.325771521066784</v>
      </c>
      <c r="AA66">
        <v>1.6</v>
      </c>
      <c r="AB66">
        <v>1.6</v>
      </c>
      <c r="AC66">
        <v>563260.45720630127</v>
      </c>
      <c r="AD66">
        <v>54.631686906627358</v>
      </c>
      <c r="AE66">
        <v>1.6</v>
      </c>
      <c r="AF66">
        <v>1.6</v>
      </c>
      <c r="AG66">
        <v>1065308.7344972671</v>
      </c>
      <c r="AH66">
        <v>42.196095371312303</v>
      </c>
      <c r="AI66">
        <v>1.6</v>
      </c>
      <c r="AJ66">
        <v>1.6</v>
      </c>
      <c r="AK66">
        <v>1595657.747198354</v>
      </c>
    </row>
    <row r="67" spans="1:37" x14ac:dyDescent="0.4">
      <c r="A67" t="s">
        <v>75</v>
      </c>
      <c r="B67">
        <v>-6.1628123909474501</v>
      </c>
      <c r="C67">
        <v>905.32821966779784</v>
      </c>
      <c r="D67" t="s">
        <v>171</v>
      </c>
      <c r="E67">
        <v>1.502187505241678</v>
      </c>
      <c r="F67">
        <v>914.58591943862768</v>
      </c>
      <c r="G67">
        <v>0.1488382137399929</v>
      </c>
      <c r="H67">
        <v>906.24548165568115</v>
      </c>
      <c r="I67" t="s">
        <v>237</v>
      </c>
      <c r="J67" t="s">
        <v>398</v>
      </c>
      <c r="L67">
        <v>911.43032213470019</v>
      </c>
      <c r="M67">
        <v>-2.1006670704997039</v>
      </c>
      <c r="N67">
        <v>-0.45</v>
      </c>
      <c r="O67">
        <f t="shared" ref="O67:O130" si="6">M67-B67</f>
        <v>4.0621453204477458</v>
      </c>
      <c r="P67">
        <f t="shared" ref="P67:P130" si="7">ATAN2(N67,O67)-PI()/2</f>
        <v>0.11032905183741937</v>
      </c>
      <c r="Q67">
        <f t="shared" ref="Q67:Q130" si="8">P67*180/PI()</f>
        <v>6.3213890279642104</v>
      </c>
      <c r="R67">
        <v>-0.45</v>
      </c>
      <c r="S67">
        <f t="shared" ref="S67:S130" si="9">COS(P67)</f>
        <v>0.9939199213953962</v>
      </c>
      <c r="T67">
        <v>143.57082169760329</v>
      </c>
      <c r="U67">
        <f t="shared" ref="U67:U130" si="10">T67/S67</f>
        <v>144.44908347952176</v>
      </c>
      <c r="V67">
        <v>1.625</v>
      </c>
      <c r="W67">
        <v>1.625</v>
      </c>
      <c r="X67">
        <v>110856.96834043899</v>
      </c>
      <c r="Y67">
        <f t="shared" ref="Y67:Y130" si="11">X67/S67</f>
        <v>111535.11057993819</v>
      </c>
      <c r="Z67">
        <v>90.22811531178084</v>
      </c>
      <c r="AA67">
        <v>1.625</v>
      </c>
      <c r="AB67">
        <v>1.625</v>
      </c>
      <c r="AC67">
        <v>560741.92967601551</v>
      </c>
      <c r="AF67">
        <v>1.625</v>
      </c>
      <c r="AJ67">
        <v>1.625</v>
      </c>
    </row>
    <row r="68" spans="1:37" x14ac:dyDescent="0.4">
      <c r="A68" t="s">
        <v>76</v>
      </c>
      <c r="B68">
        <v>-6.1686316983508291</v>
      </c>
      <c r="C68">
        <v>905.5920183440586</v>
      </c>
      <c r="D68" t="s">
        <v>171</v>
      </c>
      <c r="E68">
        <v>1.425643417990905</v>
      </c>
      <c r="F68">
        <v>914.3862875228225</v>
      </c>
      <c r="G68">
        <v>0.14945738494622179</v>
      </c>
      <c r="H68">
        <v>906.51396590639047</v>
      </c>
      <c r="I68" t="s">
        <v>238</v>
      </c>
      <c r="J68" t="s">
        <v>399</v>
      </c>
      <c r="L68">
        <v>911.43529046832009</v>
      </c>
      <c r="M68">
        <v>-2.069941445144325</v>
      </c>
      <c r="N68">
        <v>-0.42499999999999999</v>
      </c>
      <c r="O68">
        <f t="shared" si="6"/>
        <v>4.0986902532065042</v>
      </c>
      <c r="P68">
        <f t="shared" si="7"/>
        <v>0.10332241057073777</v>
      </c>
      <c r="Q68">
        <f t="shared" si="8"/>
        <v>5.9199380548211575</v>
      </c>
      <c r="R68">
        <v>-0.42499999999999999</v>
      </c>
      <c r="S68">
        <f t="shared" si="9"/>
        <v>0.99466698666155484</v>
      </c>
      <c r="T68">
        <v>140.79214566958771</v>
      </c>
      <c r="U68">
        <f t="shared" si="10"/>
        <v>141.54701780355117</v>
      </c>
      <c r="V68">
        <v>1.65</v>
      </c>
      <c r="W68">
        <v>1.65</v>
      </c>
      <c r="X68">
        <v>117281.0423245525</v>
      </c>
      <c r="Y68">
        <f t="shared" si="11"/>
        <v>117909.85716555055</v>
      </c>
      <c r="Z68">
        <v>91.778078809145612</v>
      </c>
      <c r="AA68">
        <v>1.65</v>
      </c>
      <c r="AB68">
        <v>1.65</v>
      </c>
      <c r="AC68">
        <v>560563.88097871561</v>
      </c>
      <c r="AD68">
        <v>55.816959864749172</v>
      </c>
      <c r="AE68">
        <v>1.65</v>
      </c>
      <c r="AF68">
        <v>1.65</v>
      </c>
      <c r="AG68">
        <v>1073653.5804633731</v>
      </c>
      <c r="AH68">
        <v>44.278407939364591</v>
      </c>
      <c r="AI68">
        <v>1.65</v>
      </c>
      <c r="AJ68">
        <v>1.65</v>
      </c>
      <c r="AK68">
        <v>1722331.0751494409</v>
      </c>
    </row>
    <row r="69" spans="1:37" x14ac:dyDescent="0.4">
      <c r="A69" t="s">
        <v>77</v>
      </c>
      <c r="B69">
        <v>-6.2797648330835623</v>
      </c>
      <c r="C69">
        <v>905.83889052102313</v>
      </c>
      <c r="D69" t="s">
        <v>171</v>
      </c>
      <c r="E69">
        <v>1.340541232020398</v>
      </c>
      <c r="F69">
        <v>914.2571742071633</v>
      </c>
      <c r="G69">
        <v>0.14986862932882641</v>
      </c>
      <c r="H69">
        <v>906.7800302690647</v>
      </c>
      <c r="I69" t="s">
        <v>239</v>
      </c>
      <c r="J69" t="s">
        <v>400</v>
      </c>
      <c r="L69">
        <v>911.42883776030862</v>
      </c>
      <c r="M69">
        <v>-2.1098468750238428</v>
      </c>
      <c r="N69">
        <v>-0.4</v>
      </c>
      <c r="O69">
        <f t="shared" si="6"/>
        <v>4.1699179580597194</v>
      </c>
      <c r="P69">
        <f t="shared" si="7"/>
        <v>9.5632539742997125E-2</v>
      </c>
      <c r="Q69">
        <f t="shared" si="8"/>
        <v>5.479340911390846</v>
      </c>
      <c r="R69">
        <v>-0.4</v>
      </c>
      <c r="S69">
        <f t="shared" si="9"/>
        <v>0.99543069267898188</v>
      </c>
      <c r="U69">
        <f t="shared" si="10"/>
        <v>0</v>
      </c>
      <c r="V69">
        <v>1.675</v>
      </c>
      <c r="W69">
        <v>1.675</v>
      </c>
      <c r="Y69">
        <f t="shared" si="11"/>
        <v>0</v>
      </c>
      <c r="Z69">
        <v>89.37317428083567</v>
      </c>
      <c r="AA69">
        <v>1.675</v>
      </c>
      <c r="AB69">
        <v>1.675</v>
      </c>
      <c r="AC69">
        <v>508609.51951395703</v>
      </c>
      <c r="AF69">
        <v>1.675</v>
      </c>
      <c r="AH69">
        <v>44.344654808691551</v>
      </c>
      <c r="AI69">
        <v>1.675</v>
      </c>
      <c r="AJ69">
        <v>1.675</v>
      </c>
      <c r="AK69">
        <v>1718528.8695450069</v>
      </c>
    </row>
    <row r="70" spans="1:37" x14ac:dyDescent="0.4">
      <c r="A70" t="s">
        <v>78</v>
      </c>
      <c r="B70">
        <v>-6.218910843072214</v>
      </c>
      <c r="C70">
        <v>906.20487505564574</v>
      </c>
      <c r="D70" t="s">
        <v>171</v>
      </c>
      <c r="E70">
        <v>1.2689253858951981</v>
      </c>
      <c r="F70">
        <v>914.09620889703899</v>
      </c>
      <c r="G70">
        <v>0.14482387770914401</v>
      </c>
      <c r="H70">
        <v>907.10552183906691</v>
      </c>
      <c r="I70" t="s">
        <v>240</v>
      </c>
      <c r="J70" t="s">
        <v>401</v>
      </c>
      <c r="L70">
        <v>911.43027862873396</v>
      </c>
      <c r="M70">
        <v>-2.1009361240940749</v>
      </c>
      <c r="N70">
        <v>-0.375</v>
      </c>
      <c r="O70">
        <f t="shared" si="6"/>
        <v>4.1179747189781395</v>
      </c>
      <c r="P70">
        <f t="shared" si="7"/>
        <v>9.081370507436537E-2</v>
      </c>
      <c r="Q70">
        <f t="shared" si="8"/>
        <v>5.2032420227069238</v>
      </c>
      <c r="R70">
        <v>-0.375</v>
      </c>
      <c r="S70">
        <f t="shared" si="9"/>
        <v>0.99587926867042997</v>
      </c>
      <c r="U70">
        <f t="shared" si="10"/>
        <v>0</v>
      </c>
      <c r="W70">
        <v>1.7</v>
      </c>
      <c r="Y70">
        <f t="shared" si="11"/>
        <v>0</v>
      </c>
      <c r="Z70">
        <v>94.439885843427703</v>
      </c>
      <c r="AA70">
        <v>1.7</v>
      </c>
      <c r="AB70">
        <v>1.7</v>
      </c>
      <c r="AC70">
        <v>541002.80667781155</v>
      </c>
      <c r="AD70">
        <v>54.945180673052981</v>
      </c>
      <c r="AE70">
        <v>1.7</v>
      </c>
      <c r="AF70">
        <v>1.7</v>
      </c>
      <c r="AG70">
        <v>977168.29130269017</v>
      </c>
      <c r="AH70">
        <v>44.809493097711602</v>
      </c>
      <c r="AI70">
        <v>1.7</v>
      </c>
      <c r="AJ70">
        <v>1.7</v>
      </c>
      <c r="AK70">
        <v>1695329.383930773</v>
      </c>
    </row>
    <row r="71" spans="1:37" x14ac:dyDescent="0.4">
      <c r="A71" t="s">
        <v>79</v>
      </c>
      <c r="B71">
        <v>-6.1704620236130374</v>
      </c>
      <c r="C71">
        <v>906.50169751629699</v>
      </c>
      <c r="D71" t="s">
        <v>171</v>
      </c>
      <c r="E71">
        <v>1.200992523338738</v>
      </c>
      <c r="F71">
        <v>913.91237627220187</v>
      </c>
      <c r="G71">
        <v>0.1465773615853172</v>
      </c>
      <c r="H71">
        <v>907.40614755948059</v>
      </c>
      <c r="I71" t="s">
        <v>241</v>
      </c>
      <c r="J71" t="s">
        <v>402</v>
      </c>
      <c r="L71">
        <v>911.43667513473099</v>
      </c>
      <c r="M71">
        <v>-2.0613782638774749</v>
      </c>
      <c r="N71">
        <v>-0.35</v>
      </c>
      <c r="O71">
        <f t="shared" si="6"/>
        <v>4.1090837597355625</v>
      </c>
      <c r="P71">
        <f t="shared" si="7"/>
        <v>8.4972040590125975E-2</v>
      </c>
      <c r="Q71">
        <f t="shared" si="8"/>
        <v>4.8685393024285393</v>
      </c>
      <c r="R71">
        <v>-0.35</v>
      </c>
      <c r="S71">
        <f t="shared" si="9"/>
        <v>0.99639204780194779</v>
      </c>
      <c r="T71">
        <v>141.27367870433591</v>
      </c>
      <c r="U71">
        <f t="shared" si="10"/>
        <v>141.78523304756121</v>
      </c>
      <c r="V71">
        <v>1.7250000000000001</v>
      </c>
      <c r="W71">
        <v>1.7250000000000001</v>
      </c>
      <c r="X71">
        <v>114477.2103394843</v>
      </c>
      <c r="Y71">
        <f t="shared" si="11"/>
        <v>114891.73422451768</v>
      </c>
      <c r="Z71">
        <v>91.832411138967259</v>
      </c>
      <c r="AA71">
        <v>1.75</v>
      </c>
      <c r="AB71">
        <v>1.7250000000000001</v>
      </c>
      <c r="AC71">
        <v>500331.00516304962</v>
      </c>
      <c r="AD71">
        <v>57.372220780462797</v>
      </c>
      <c r="AE71">
        <v>1.7250000000000001</v>
      </c>
      <c r="AF71">
        <v>1.7250000000000001</v>
      </c>
      <c r="AG71">
        <v>1093460.032705327</v>
      </c>
      <c r="AH71">
        <v>45.405110236617602</v>
      </c>
      <c r="AI71">
        <v>1.7250000000000001</v>
      </c>
      <c r="AJ71">
        <v>1.7250000000000001</v>
      </c>
      <c r="AK71">
        <v>1691766.9636529221</v>
      </c>
    </row>
    <row r="72" spans="1:37" x14ac:dyDescent="0.4">
      <c r="A72" t="s">
        <v>80</v>
      </c>
      <c r="B72">
        <v>-6.167259869880235</v>
      </c>
      <c r="C72">
        <v>906.78593094452322</v>
      </c>
      <c r="D72" t="s">
        <v>171</v>
      </c>
      <c r="E72">
        <v>1.135694368704333</v>
      </c>
      <c r="F72">
        <v>913.79005324908246</v>
      </c>
      <c r="G72">
        <v>0.147832617004335</v>
      </c>
      <c r="H72">
        <v>907.69765311083347</v>
      </c>
      <c r="I72" t="s">
        <v>242</v>
      </c>
      <c r="J72" t="s">
        <v>403</v>
      </c>
      <c r="L72">
        <v>911.43463595248022</v>
      </c>
      <c r="M72">
        <v>-2.0739891621508568</v>
      </c>
      <c r="N72">
        <v>-0.32500000000000001</v>
      </c>
      <c r="O72">
        <f t="shared" si="6"/>
        <v>4.0932707077293777</v>
      </c>
      <c r="P72">
        <f t="shared" si="7"/>
        <v>7.9232390530960206E-2</v>
      </c>
      <c r="Q72">
        <f t="shared" si="8"/>
        <v>4.539681578156328</v>
      </c>
      <c r="R72">
        <v>-0.32500000000000001</v>
      </c>
      <c r="S72">
        <f t="shared" si="9"/>
        <v>0.99686275590252349</v>
      </c>
      <c r="U72">
        <f t="shared" si="10"/>
        <v>0</v>
      </c>
      <c r="W72">
        <v>1.75</v>
      </c>
      <c r="Y72">
        <f t="shared" si="11"/>
        <v>0</v>
      </c>
      <c r="Z72">
        <v>93.267206724574734</v>
      </c>
      <c r="AA72">
        <v>1.7749999999999999</v>
      </c>
      <c r="AB72">
        <v>1.75</v>
      </c>
      <c r="AC72">
        <v>501058.15945266688</v>
      </c>
      <c r="AF72">
        <v>1.75</v>
      </c>
      <c r="AH72">
        <v>43.377306927734637</v>
      </c>
      <c r="AI72">
        <v>1.75</v>
      </c>
      <c r="AJ72">
        <v>1.75</v>
      </c>
      <c r="AK72">
        <v>1542891.797463316</v>
      </c>
    </row>
    <row r="73" spans="1:37" x14ac:dyDescent="0.4">
      <c r="A73" t="s">
        <v>81</v>
      </c>
      <c r="B73">
        <v>-6.1919409506337484</v>
      </c>
      <c r="C73">
        <v>907.04078262540077</v>
      </c>
      <c r="D73" t="s">
        <v>171</v>
      </c>
      <c r="E73">
        <v>1.0630947711036689</v>
      </c>
      <c r="F73">
        <v>913.62340267300215</v>
      </c>
      <c r="G73">
        <v>0.15113259773888291</v>
      </c>
      <c r="H73">
        <v>907.97658674631577</v>
      </c>
      <c r="I73" t="s">
        <v>243</v>
      </c>
      <c r="J73" t="s">
        <v>404</v>
      </c>
      <c r="L73">
        <v>911.43752060406371</v>
      </c>
      <c r="M73">
        <v>-2.0561496347329098</v>
      </c>
      <c r="N73">
        <v>-0.3</v>
      </c>
      <c r="O73">
        <f t="shared" si="6"/>
        <v>4.135791315900839</v>
      </c>
      <c r="P73">
        <f t="shared" si="7"/>
        <v>7.2410685890293314E-2</v>
      </c>
      <c r="Q73">
        <f t="shared" si="8"/>
        <v>4.1488266931613076</v>
      </c>
      <c r="R73">
        <v>-0.3</v>
      </c>
      <c r="S73">
        <f t="shared" si="9"/>
        <v>0.99737949159562578</v>
      </c>
      <c r="T73">
        <v>142.6946483294071</v>
      </c>
      <c r="U73">
        <f t="shared" si="10"/>
        <v>143.06956332250388</v>
      </c>
      <c r="V73">
        <v>1.7749999999999999</v>
      </c>
      <c r="W73">
        <v>1.7749999999999999</v>
      </c>
      <c r="X73">
        <v>107433.1933967357</v>
      </c>
      <c r="Y73">
        <f t="shared" si="11"/>
        <v>107715.4626719486</v>
      </c>
      <c r="AB73">
        <v>1.7749999999999999</v>
      </c>
      <c r="AD73">
        <v>57.982670541308053</v>
      </c>
      <c r="AE73">
        <v>1.7749999999999999</v>
      </c>
      <c r="AF73">
        <v>1.7749999999999999</v>
      </c>
      <c r="AG73">
        <v>1007079.027705536</v>
      </c>
      <c r="AH73">
        <v>44.330168471955801</v>
      </c>
      <c r="AI73">
        <v>1.7749999999999999</v>
      </c>
      <c r="AJ73">
        <v>1.7749999999999999</v>
      </c>
      <c r="AK73">
        <v>1577122.3844608469</v>
      </c>
    </row>
    <row r="74" spans="1:37" x14ac:dyDescent="0.4">
      <c r="A74" t="s">
        <v>82</v>
      </c>
      <c r="B74">
        <v>-6.1393031761571022</v>
      </c>
      <c r="C74">
        <v>907.38753721107753</v>
      </c>
      <c r="D74" t="s">
        <v>171</v>
      </c>
      <c r="E74">
        <v>0.99638852096282049</v>
      </c>
      <c r="F74">
        <v>913.50466842251103</v>
      </c>
      <c r="G74">
        <v>0.1466599650723254</v>
      </c>
      <c r="H74">
        <v>908.28792720046113</v>
      </c>
      <c r="I74" t="s">
        <v>244</v>
      </c>
      <c r="J74" t="s">
        <v>405</v>
      </c>
      <c r="L74">
        <v>911.4339517046468</v>
      </c>
      <c r="M74">
        <v>-2.0782207504831809</v>
      </c>
      <c r="N74">
        <v>-0.27500000000000002</v>
      </c>
      <c r="O74">
        <f t="shared" si="6"/>
        <v>4.0610824256739217</v>
      </c>
      <c r="P74">
        <f t="shared" si="7"/>
        <v>6.761271778151734E-2</v>
      </c>
      <c r="Q74">
        <f t="shared" si="8"/>
        <v>3.8739233702900782</v>
      </c>
      <c r="R74">
        <v>-0.27500000000000002</v>
      </c>
      <c r="S74">
        <f t="shared" si="9"/>
        <v>0.99771513083216046</v>
      </c>
      <c r="U74">
        <f t="shared" si="10"/>
        <v>0</v>
      </c>
      <c r="W74">
        <v>1.8</v>
      </c>
      <c r="Y74">
        <f t="shared" si="11"/>
        <v>0</v>
      </c>
      <c r="Z74">
        <v>92.623291223930664</v>
      </c>
      <c r="AA74">
        <v>1.8</v>
      </c>
      <c r="AB74">
        <v>1.8</v>
      </c>
      <c r="AC74">
        <v>493865.46584406699</v>
      </c>
      <c r="AD74">
        <v>60.257812640366843</v>
      </c>
      <c r="AE74">
        <v>1.8</v>
      </c>
      <c r="AF74">
        <v>1.8</v>
      </c>
      <c r="AG74">
        <v>1066910.513846972</v>
      </c>
      <c r="AH74">
        <v>43.502094775929677</v>
      </c>
      <c r="AI74">
        <v>1.8</v>
      </c>
      <c r="AJ74">
        <v>1.8</v>
      </c>
      <c r="AK74">
        <v>1494543.5122784949</v>
      </c>
    </row>
    <row r="75" spans="1:37" x14ac:dyDescent="0.4">
      <c r="A75" t="s">
        <v>83</v>
      </c>
      <c r="B75">
        <v>-6.1640394595635906</v>
      </c>
      <c r="C75">
        <v>907.64289995674767</v>
      </c>
      <c r="D75" t="s">
        <v>171</v>
      </c>
      <c r="E75">
        <v>0.91847414762036894</v>
      </c>
      <c r="F75">
        <v>913.30441084526865</v>
      </c>
      <c r="G75">
        <v>0.15007845958173249</v>
      </c>
      <c r="H75">
        <v>908.56798950363998</v>
      </c>
      <c r="I75" t="s">
        <v>245</v>
      </c>
      <c r="J75" t="s">
        <v>406</v>
      </c>
      <c r="L75">
        <v>911.44214220004915</v>
      </c>
      <c r="M75">
        <v>-2.0275683361214538</v>
      </c>
      <c r="N75">
        <v>-0.25</v>
      </c>
      <c r="O75">
        <f t="shared" si="6"/>
        <v>4.1364711234421367</v>
      </c>
      <c r="P75">
        <f t="shared" si="7"/>
        <v>6.03645624632283E-2</v>
      </c>
      <c r="Q75">
        <f t="shared" si="8"/>
        <v>3.4586346612968142</v>
      </c>
      <c r="R75">
        <v>-0.25</v>
      </c>
      <c r="S75">
        <f t="shared" si="9"/>
        <v>0.99817861297646648</v>
      </c>
      <c r="T75">
        <v>140.50928419367091</v>
      </c>
      <c r="U75">
        <f t="shared" si="10"/>
        <v>140.76567296376606</v>
      </c>
      <c r="V75">
        <v>1.825</v>
      </c>
      <c r="W75">
        <v>1.825</v>
      </c>
      <c r="X75">
        <v>105190.5891529893</v>
      </c>
      <c r="Y75">
        <f t="shared" si="11"/>
        <v>105382.53152842227</v>
      </c>
      <c r="Z75">
        <v>93.47875176906112</v>
      </c>
      <c r="AA75">
        <v>1.825</v>
      </c>
      <c r="AB75">
        <v>1.825</v>
      </c>
      <c r="AC75">
        <v>495720.00849585747</v>
      </c>
      <c r="AD75">
        <v>60.635851728067628</v>
      </c>
      <c r="AE75">
        <v>1.825</v>
      </c>
      <c r="AF75">
        <v>1.825</v>
      </c>
      <c r="AG75">
        <v>1036270.853134112</v>
      </c>
      <c r="AH75">
        <v>43.878237036397941</v>
      </c>
      <c r="AI75">
        <v>1.825</v>
      </c>
      <c r="AJ75">
        <v>1.825</v>
      </c>
      <c r="AK75">
        <v>1434217.3950032149</v>
      </c>
    </row>
    <row r="76" spans="1:37" x14ac:dyDescent="0.4">
      <c r="A76" t="s">
        <v>84</v>
      </c>
      <c r="B76">
        <v>-6.4790245974533702</v>
      </c>
      <c r="C76">
        <v>907.80198073753536</v>
      </c>
      <c r="D76" t="s">
        <v>171</v>
      </c>
      <c r="E76">
        <v>0.83380124043386383</v>
      </c>
      <c r="F76">
        <v>913.20419948369351</v>
      </c>
      <c r="G76">
        <v>0.15282406074745791</v>
      </c>
      <c r="H76">
        <v>908.79213158620087</v>
      </c>
      <c r="I76" t="s">
        <v>246</v>
      </c>
      <c r="J76" t="s">
        <v>407</v>
      </c>
      <c r="L76">
        <v>911.42494772616021</v>
      </c>
      <c r="M76">
        <v>-2.1339039816932801</v>
      </c>
      <c r="N76">
        <v>-0.22500000000000001</v>
      </c>
      <c r="O76">
        <f t="shared" si="6"/>
        <v>4.3451206157600897</v>
      </c>
      <c r="P76">
        <f t="shared" si="7"/>
        <v>5.1736013316550755E-2</v>
      </c>
      <c r="Q76">
        <f t="shared" si="8"/>
        <v>2.9642552118709826</v>
      </c>
      <c r="R76">
        <v>-0.22500000000000001</v>
      </c>
      <c r="S76">
        <f t="shared" si="9"/>
        <v>0.9986619909476</v>
      </c>
      <c r="T76">
        <v>142.30577164851849</v>
      </c>
      <c r="U76">
        <f t="shared" si="10"/>
        <v>142.49643316602933</v>
      </c>
      <c r="V76">
        <v>1.85</v>
      </c>
      <c r="W76">
        <v>1.85</v>
      </c>
      <c r="X76">
        <v>100169.2933746153</v>
      </c>
      <c r="Y76">
        <f t="shared" si="11"/>
        <v>100303.50036609254</v>
      </c>
      <c r="Z76">
        <v>92.982121094711459</v>
      </c>
      <c r="AA76">
        <v>1.85</v>
      </c>
      <c r="AB76">
        <v>1.85</v>
      </c>
      <c r="AC76">
        <v>478199.07139587379</v>
      </c>
      <c r="AF76">
        <v>1.85</v>
      </c>
      <c r="AH76">
        <v>44.107543190485451</v>
      </c>
      <c r="AI76">
        <v>1.85</v>
      </c>
      <c r="AJ76">
        <v>1.85</v>
      </c>
      <c r="AK76">
        <v>1432648.141221629</v>
      </c>
    </row>
    <row r="77" spans="1:37" x14ac:dyDescent="0.4">
      <c r="A77" t="s">
        <v>85</v>
      </c>
      <c r="B77">
        <v>-6.172736296303964</v>
      </c>
      <c r="C77">
        <v>908.14457030079348</v>
      </c>
      <c r="D77" t="s">
        <v>171</v>
      </c>
      <c r="E77">
        <v>0.77636024506147605</v>
      </c>
      <c r="F77">
        <v>912.93683736449191</v>
      </c>
      <c r="G77">
        <v>0.1519921586184427</v>
      </c>
      <c r="H77">
        <v>909.08277781505114</v>
      </c>
      <c r="I77" t="s">
        <v>247</v>
      </c>
      <c r="J77" t="s">
        <v>408</v>
      </c>
      <c r="L77">
        <v>911.46303754449616</v>
      </c>
      <c r="M77">
        <v>-1.8983454267399651</v>
      </c>
      <c r="N77">
        <v>-0.2</v>
      </c>
      <c r="O77">
        <f t="shared" si="6"/>
        <v>4.2743908695639989</v>
      </c>
      <c r="P77">
        <f t="shared" si="7"/>
        <v>4.6756191020755233E-2</v>
      </c>
      <c r="Q77">
        <f t="shared" si="8"/>
        <v>2.678932411596751</v>
      </c>
      <c r="R77">
        <v>-0.2</v>
      </c>
      <c r="S77">
        <f t="shared" si="9"/>
        <v>0.99890712842003038</v>
      </c>
      <c r="T77">
        <v>145.0328932333594</v>
      </c>
      <c r="U77">
        <f t="shared" si="10"/>
        <v>145.19156897274092</v>
      </c>
      <c r="V77">
        <v>1.875</v>
      </c>
      <c r="W77">
        <v>1.875</v>
      </c>
      <c r="X77">
        <v>100511.2035670294</v>
      </c>
      <c r="Y77">
        <f t="shared" si="11"/>
        <v>100621.16958361064</v>
      </c>
      <c r="Z77">
        <v>94.536439213490837</v>
      </c>
      <c r="AA77">
        <v>1.875</v>
      </c>
      <c r="AB77">
        <v>1.875</v>
      </c>
      <c r="AC77">
        <v>485002.33325806312</v>
      </c>
      <c r="AD77">
        <v>61.316147084079077</v>
      </c>
      <c r="AE77">
        <v>1.875</v>
      </c>
      <c r="AF77">
        <v>1.875</v>
      </c>
      <c r="AG77">
        <v>1041565.845735505</v>
      </c>
      <c r="AJ77">
        <v>1.875</v>
      </c>
    </row>
    <row r="78" spans="1:37" x14ac:dyDescent="0.4">
      <c r="A78" t="s">
        <v>86</v>
      </c>
      <c r="B78">
        <v>-6.1004224283613233</v>
      </c>
      <c r="C78">
        <v>908.43400876929866</v>
      </c>
      <c r="D78" t="s">
        <v>171</v>
      </c>
      <c r="E78">
        <v>0.71101020599740872</v>
      </c>
      <c r="F78">
        <v>912.77147137675911</v>
      </c>
      <c r="G78">
        <v>0.1502010289492785</v>
      </c>
      <c r="H78">
        <v>909.35029849506384</v>
      </c>
      <c r="I78" t="s">
        <v>248</v>
      </c>
      <c r="J78" t="s">
        <v>409</v>
      </c>
      <c r="L78">
        <v>911.47519768309326</v>
      </c>
      <c r="M78">
        <v>-1.823143580127865</v>
      </c>
      <c r="N78">
        <v>-0.17499999999999999</v>
      </c>
      <c r="O78">
        <f t="shared" si="6"/>
        <v>4.2772788482334585</v>
      </c>
      <c r="P78">
        <f t="shared" si="7"/>
        <v>4.0891056538197468E-2</v>
      </c>
      <c r="Q78">
        <f t="shared" si="8"/>
        <v>2.3428849594695453</v>
      </c>
      <c r="R78">
        <v>-0.17499999999999999</v>
      </c>
      <c r="S78">
        <f t="shared" si="9"/>
        <v>0.99916407723470757</v>
      </c>
      <c r="T78">
        <v>142.18580050365489</v>
      </c>
      <c r="U78">
        <f t="shared" si="10"/>
        <v>142.30475628904628</v>
      </c>
      <c r="V78">
        <v>1.9</v>
      </c>
      <c r="W78">
        <v>1.9</v>
      </c>
      <c r="X78">
        <v>101889.9929636068</v>
      </c>
      <c r="Y78">
        <f t="shared" si="11"/>
        <v>101975.23638519726</v>
      </c>
      <c r="AB78">
        <v>1.9</v>
      </c>
      <c r="AF78">
        <v>1.9</v>
      </c>
      <c r="AH78">
        <v>45.254666802365527</v>
      </c>
      <c r="AI78">
        <v>1.9</v>
      </c>
      <c r="AJ78">
        <v>1.9</v>
      </c>
      <c r="AK78">
        <v>1553400.5113059529</v>
      </c>
    </row>
    <row r="79" spans="1:37" x14ac:dyDescent="0.4">
      <c r="A79" t="s">
        <v>87</v>
      </c>
      <c r="B79">
        <v>-6.2788019456380164</v>
      </c>
      <c r="C79">
        <v>908.65150009435604</v>
      </c>
      <c r="D79" t="s">
        <v>171</v>
      </c>
      <c r="E79">
        <v>0.6342626424122082</v>
      </c>
      <c r="F79">
        <v>912.63390960757931</v>
      </c>
      <c r="G79">
        <v>0.15153098272548279</v>
      </c>
      <c r="H79">
        <v>909.60293312351723</v>
      </c>
      <c r="I79" t="s">
        <v>249</v>
      </c>
      <c r="J79" t="s">
        <v>410</v>
      </c>
      <c r="L79">
        <v>911.47439021463799</v>
      </c>
      <c r="M79">
        <v>-1.828137200754254</v>
      </c>
      <c r="N79">
        <v>-0.15</v>
      </c>
      <c r="O79">
        <f t="shared" si="6"/>
        <v>4.4506647448837624</v>
      </c>
      <c r="P79">
        <f t="shared" si="7"/>
        <v>3.3690078500787424E-2</v>
      </c>
      <c r="Q79">
        <f t="shared" si="8"/>
        <v>1.9302993095595513</v>
      </c>
      <c r="R79">
        <v>-0.15</v>
      </c>
      <c r="S79">
        <f t="shared" si="9"/>
        <v>0.99943254298133932</v>
      </c>
      <c r="T79">
        <v>145.38676942727659</v>
      </c>
      <c r="U79">
        <f t="shared" si="10"/>
        <v>145.46931701221496</v>
      </c>
      <c r="V79">
        <v>1.925</v>
      </c>
      <c r="W79">
        <v>1.925</v>
      </c>
      <c r="X79">
        <v>106597.6567095512</v>
      </c>
      <c r="Y79">
        <f t="shared" si="11"/>
        <v>106658.18064275451</v>
      </c>
      <c r="Z79">
        <v>96.116375741964305</v>
      </c>
      <c r="AA79">
        <v>1.925</v>
      </c>
      <c r="AB79">
        <v>1.925</v>
      </c>
      <c r="AC79">
        <v>463671.94296555832</v>
      </c>
      <c r="AF79">
        <v>1.925</v>
      </c>
      <c r="AJ79">
        <v>1.925</v>
      </c>
    </row>
    <row r="80" spans="1:37" x14ac:dyDescent="0.4">
      <c r="A80" t="s">
        <v>88</v>
      </c>
      <c r="B80">
        <v>-6.391218038254733</v>
      </c>
      <c r="C80">
        <v>908.92235165086731</v>
      </c>
      <c r="D80" t="s">
        <v>171</v>
      </c>
      <c r="E80">
        <v>0.55592696956752452</v>
      </c>
      <c r="F80">
        <v>912.47540212671959</v>
      </c>
      <c r="G80">
        <v>0.15103897173080591</v>
      </c>
      <c r="H80">
        <v>909.88767465147271</v>
      </c>
      <c r="I80" t="s">
        <v>250</v>
      </c>
      <c r="J80" t="s">
        <v>411</v>
      </c>
      <c r="L80">
        <v>911.48066542017671</v>
      </c>
      <c r="M80">
        <v>-1.789329497979715</v>
      </c>
      <c r="N80">
        <v>-0.125</v>
      </c>
      <c r="O80">
        <f t="shared" si="6"/>
        <v>4.6018885402750183</v>
      </c>
      <c r="P80">
        <f t="shared" si="7"/>
        <v>2.7156083897222683E-2</v>
      </c>
      <c r="Q80">
        <f t="shared" si="8"/>
        <v>1.5559289954140361</v>
      </c>
      <c r="R80">
        <v>-0.125</v>
      </c>
      <c r="S80">
        <f t="shared" si="9"/>
        <v>0.99963129621299185</v>
      </c>
      <c r="T80">
        <v>145.17623313597821</v>
      </c>
      <c r="U80">
        <f t="shared" si="10"/>
        <v>145.22977990581583</v>
      </c>
      <c r="V80">
        <v>1.95</v>
      </c>
      <c r="W80">
        <v>1.95</v>
      </c>
      <c r="X80">
        <v>99535.355349565536</v>
      </c>
      <c r="Y80">
        <f t="shared" si="11"/>
        <v>99572.067948098236</v>
      </c>
      <c r="AB80">
        <v>1.95</v>
      </c>
      <c r="AD80">
        <v>62.683606002031993</v>
      </c>
      <c r="AE80">
        <v>1.95</v>
      </c>
      <c r="AF80">
        <v>1.95</v>
      </c>
      <c r="AG80">
        <v>1015715.465482073</v>
      </c>
      <c r="AH80">
        <v>45.278016016992837</v>
      </c>
      <c r="AI80">
        <v>1.95</v>
      </c>
      <c r="AJ80">
        <v>1.95</v>
      </c>
      <c r="AK80">
        <v>1420725.7745018171</v>
      </c>
    </row>
    <row r="81" spans="1:37" x14ac:dyDescent="0.4">
      <c r="A81" t="s">
        <v>89</v>
      </c>
      <c r="B81">
        <v>-7.0463953416041418</v>
      </c>
      <c r="C81">
        <v>909.0959159469196</v>
      </c>
      <c r="D81" t="s">
        <v>171</v>
      </c>
      <c r="E81">
        <v>0.46219509218808702</v>
      </c>
      <c r="F81">
        <v>912.35272529142605</v>
      </c>
      <c r="G81">
        <v>0.15293601109043889</v>
      </c>
      <c r="H81">
        <v>910.17356354303081</v>
      </c>
      <c r="I81" t="s">
        <v>251</v>
      </c>
      <c r="J81" t="s">
        <v>412</v>
      </c>
      <c r="L81">
        <v>911.4564286177806</v>
      </c>
      <c r="M81">
        <v>-1.9392169586847769</v>
      </c>
      <c r="N81">
        <v>-0.1</v>
      </c>
      <c r="O81">
        <f t="shared" si="6"/>
        <v>5.1071783829193649</v>
      </c>
      <c r="P81">
        <f t="shared" si="7"/>
        <v>1.9577781674921857E-2</v>
      </c>
      <c r="Q81">
        <f t="shared" si="8"/>
        <v>1.1217242622015862</v>
      </c>
      <c r="R81">
        <v>-0.1</v>
      </c>
      <c r="S81">
        <f t="shared" si="9"/>
        <v>0.99980836135355255</v>
      </c>
      <c r="T81">
        <v>148.53870336808231</v>
      </c>
      <c r="U81">
        <f t="shared" si="10"/>
        <v>148.5671745803254</v>
      </c>
      <c r="V81">
        <v>1.9750000000000001</v>
      </c>
      <c r="W81">
        <v>1.9750000000000001</v>
      </c>
      <c r="X81">
        <v>100705.0815001025</v>
      </c>
      <c r="Y81">
        <f t="shared" si="11"/>
        <v>100724.38418475192</v>
      </c>
      <c r="Z81">
        <v>100.3817100616602</v>
      </c>
      <c r="AA81">
        <v>1.9750000000000001</v>
      </c>
      <c r="AB81">
        <v>1.9750000000000001</v>
      </c>
      <c r="AC81">
        <v>464384.42469486449</v>
      </c>
      <c r="AD81">
        <v>63.660046656239807</v>
      </c>
      <c r="AE81">
        <v>1.9750000000000001</v>
      </c>
      <c r="AF81">
        <v>1.9750000000000001</v>
      </c>
      <c r="AG81">
        <v>997218.7748969458</v>
      </c>
      <c r="AH81">
        <v>45.846936734663068</v>
      </c>
      <c r="AI81">
        <v>1.9750000000000001</v>
      </c>
      <c r="AJ81">
        <v>1.9750000000000001</v>
      </c>
      <c r="AK81">
        <v>1450098.0602326221</v>
      </c>
    </row>
    <row r="82" spans="1:37" x14ac:dyDescent="0.4">
      <c r="A82" t="s">
        <v>90</v>
      </c>
      <c r="B82">
        <v>-7.5736335318058821</v>
      </c>
      <c r="C82">
        <v>909.3115626069125</v>
      </c>
      <c r="D82" t="s">
        <v>171</v>
      </c>
      <c r="E82">
        <v>0.3767250570463741</v>
      </c>
      <c r="F82">
        <v>912.16474013123036</v>
      </c>
      <c r="G82">
        <v>0.153666371134797</v>
      </c>
      <c r="H82">
        <v>910.47537538804988</v>
      </c>
      <c r="I82" t="s">
        <v>252</v>
      </c>
      <c r="J82" t="s">
        <v>413</v>
      </c>
      <c r="L82">
        <v>911.47315331705613</v>
      </c>
      <c r="M82">
        <v>-1.8357865364495749</v>
      </c>
      <c r="N82">
        <v>-7.4999999999999997E-2</v>
      </c>
      <c r="O82">
        <f t="shared" si="6"/>
        <v>5.7378469953563069</v>
      </c>
      <c r="P82">
        <f t="shared" si="7"/>
        <v>1.3070360564497507E-2</v>
      </c>
      <c r="Q82">
        <f t="shared" si="8"/>
        <v>0.74887649705993542</v>
      </c>
      <c r="R82">
        <v>-7.4999999999999997E-2</v>
      </c>
      <c r="S82">
        <f t="shared" si="9"/>
        <v>0.99991458405336542</v>
      </c>
      <c r="T82">
        <v>146.8824385833413</v>
      </c>
      <c r="U82">
        <f t="shared" si="10"/>
        <v>146.89498575760567</v>
      </c>
      <c r="V82">
        <v>2</v>
      </c>
      <c r="W82">
        <v>2</v>
      </c>
      <c r="X82">
        <v>96264.706565876957</v>
      </c>
      <c r="Y82">
        <f t="shared" si="11"/>
        <v>96272.9298093119</v>
      </c>
      <c r="Z82">
        <v>96.565816192158536</v>
      </c>
      <c r="AA82">
        <v>2</v>
      </c>
      <c r="AB82">
        <v>2</v>
      </c>
      <c r="AC82">
        <v>433212.57160029409</v>
      </c>
      <c r="AD82">
        <v>63.001001739904197</v>
      </c>
      <c r="AE82">
        <v>2</v>
      </c>
      <c r="AF82">
        <v>2</v>
      </c>
      <c r="AG82">
        <v>928726.11042168189</v>
      </c>
      <c r="AI82">
        <v>2</v>
      </c>
      <c r="AJ82">
        <v>2</v>
      </c>
    </row>
    <row r="83" spans="1:37" x14ac:dyDescent="0.4">
      <c r="A83" t="s">
        <v>91</v>
      </c>
      <c r="B83">
        <v>-8.1842616429540556</v>
      </c>
      <c r="C83">
        <v>909.51141497268759</v>
      </c>
      <c r="D83" t="s">
        <v>171</v>
      </c>
      <c r="E83">
        <v>0.30773101611160658</v>
      </c>
      <c r="F83">
        <v>912.02996612419713</v>
      </c>
      <c r="G83">
        <v>0.1533226575885468</v>
      </c>
      <c r="H83">
        <v>910.76624771818535</v>
      </c>
      <c r="I83" t="s">
        <v>253</v>
      </c>
      <c r="J83" t="s">
        <v>414</v>
      </c>
      <c r="L83">
        <v>911.48213987304064</v>
      </c>
      <c r="M83">
        <v>-1.780211051077943</v>
      </c>
      <c r="N83">
        <v>-0.05</v>
      </c>
      <c r="O83">
        <f t="shared" si="6"/>
        <v>6.4040505918761124</v>
      </c>
      <c r="P83">
        <f t="shared" si="7"/>
        <v>7.8073999187961984E-3</v>
      </c>
      <c r="Q83">
        <f t="shared" si="8"/>
        <v>0.44733106431780384</v>
      </c>
      <c r="R83">
        <v>-0.05</v>
      </c>
      <c r="S83">
        <f t="shared" si="9"/>
        <v>0.99996952240806913</v>
      </c>
      <c r="T83">
        <v>147.35312799270611</v>
      </c>
      <c r="U83">
        <f t="shared" si="10"/>
        <v>147.35761909808889</v>
      </c>
      <c r="V83">
        <v>2.0249999999999999</v>
      </c>
      <c r="W83">
        <v>2.0249999999999999</v>
      </c>
      <c r="X83">
        <v>95750.936790168067</v>
      </c>
      <c r="Y83">
        <f t="shared" si="11"/>
        <v>95753.855137090737</v>
      </c>
      <c r="Z83">
        <v>96.766360332111461</v>
      </c>
      <c r="AA83">
        <v>2.0249999999999999</v>
      </c>
      <c r="AB83">
        <v>2.0249999999999999</v>
      </c>
      <c r="AC83">
        <v>426689.33628018579</v>
      </c>
      <c r="AD83">
        <v>62.450318968657513</v>
      </c>
      <c r="AE83">
        <v>2.0249999999999999</v>
      </c>
      <c r="AF83">
        <v>2.0249999999999999</v>
      </c>
      <c r="AG83">
        <v>911253.40948269051</v>
      </c>
      <c r="AH83">
        <v>45.209571873626793</v>
      </c>
      <c r="AI83">
        <v>2.0249999999999999</v>
      </c>
      <c r="AJ83">
        <v>2.0249999999999999</v>
      </c>
      <c r="AK83">
        <v>1388547.794088844</v>
      </c>
    </row>
    <row r="84" spans="1:37" x14ac:dyDescent="0.4">
      <c r="A84" t="s">
        <v>92</v>
      </c>
      <c r="B84">
        <v>-9.7752956172968517</v>
      </c>
      <c r="C84">
        <v>909.56754696967278</v>
      </c>
      <c r="D84" t="s">
        <v>171</v>
      </c>
      <c r="E84">
        <v>0.2363487879285246</v>
      </c>
      <c r="F84">
        <v>911.87792624046392</v>
      </c>
      <c r="G84">
        <v>0.1526514658401795</v>
      </c>
      <c r="H84">
        <v>911.05976017467424</v>
      </c>
      <c r="I84" t="s">
        <v>254</v>
      </c>
      <c r="J84" t="s">
        <v>415</v>
      </c>
      <c r="L84">
        <v>911.53621744162672</v>
      </c>
      <c r="M84">
        <v>-1.445779581776319</v>
      </c>
      <c r="N84">
        <v>-2.5000000000000001E-2</v>
      </c>
      <c r="O84">
        <f t="shared" si="6"/>
        <v>8.3295160355205322</v>
      </c>
      <c r="P84">
        <f t="shared" si="7"/>
        <v>3.0013658446705893E-3</v>
      </c>
      <c r="Q84">
        <f t="shared" si="8"/>
        <v>0.17196559567434216</v>
      </c>
      <c r="R84">
        <v>-2.5000000000000001E-2</v>
      </c>
      <c r="S84">
        <f t="shared" si="9"/>
        <v>0.99999549590491432</v>
      </c>
      <c r="T84">
        <v>146.57034732082289</v>
      </c>
      <c r="U84">
        <f t="shared" si="10"/>
        <v>146.57100749057744</v>
      </c>
      <c r="V84">
        <v>2.0499999999999998</v>
      </c>
      <c r="W84">
        <v>2.0499999999999998</v>
      </c>
      <c r="X84">
        <v>94969.692216597046</v>
      </c>
      <c r="Y84">
        <f t="shared" si="11"/>
        <v>94970.119971047694</v>
      </c>
      <c r="Z84">
        <v>95.999191307114756</v>
      </c>
      <c r="AA84">
        <v>2.0499999999999998</v>
      </c>
      <c r="AB84">
        <v>2.0499999999999998</v>
      </c>
      <c r="AC84">
        <v>422827.72872200678</v>
      </c>
      <c r="AD84">
        <v>62.253029794021877</v>
      </c>
      <c r="AE84">
        <v>2.0499999999999998</v>
      </c>
      <c r="AF84">
        <v>2.0499999999999998</v>
      </c>
      <c r="AG84">
        <v>879767.39867927693</v>
      </c>
      <c r="AH84">
        <v>44.50983112316635</v>
      </c>
      <c r="AI84">
        <v>2.0499999999999998</v>
      </c>
      <c r="AJ84">
        <v>2.0499999999999998</v>
      </c>
      <c r="AK84">
        <v>1335499.658806832</v>
      </c>
    </row>
    <row r="85" spans="1:37" x14ac:dyDescent="0.4">
      <c r="A85" t="s">
        <v>93</v>
      </c>
      <c r="B85">
        <v>-59.804206923872393</v>
      </c>
      <c r="C85">
        <v>902.09534109944138</v>
      </c>
      <c r="D85" t="s">
        <v>171</v>
      </c>
      <c r="E85">
        <v>0.16178800270025789</v>
      </c>
      <c r="F85">
        <v>911.77094429072758</v>
      </c>
      <c r="G85">
        <v>0.15512286547692711</v>
      </c>
      <c r="H85">
        <v>911.37234104504751</v>
      </c>
      <c r="I85" t="s">
        <v>255</v>
      </c>
      <c r="J85" t="s">
        <v>416</v>
      </c>
      <c r="L85">
        <v>910.03539999999214</v>
      </c>
      <c r="M85">
        <v>-10.727272727321591</v>
      </c>
      <c r="N85">
        <v>0</v>
      </c>
      <c r="O85">
        <f t="shared" si="6"/>
        <v>49.076934196550802</v>
      </c>
      <c r="P85">
        <f t="shared" si="7"/>
        <v>0</v>
      </c>
      <c r="Q85">
        <f t="shared" si="8"/>
        <v>0</v>
      </c>
      <c r="R85">
        <v>0</v>
      </c>
      <c r="S85">
        <f t="shared" si="9"/>
        <v>1</v>
      </c>
      <c r="U85">
        <f t="shared" si="10"/>
        <v>0</v>
      </c>
      <c r="W85">
        <v>2.0750000000000002</v>
      </c>
      <c r="Y85">
        <f t="shared" si="11"/>
        <v>0</v>
      </c>
      <c r="Z85">
        <v>95.539373301821314</v>
      </c>
      <c r="AA85">
        <v>2.0750000000000002</v>
      </c>
      <c r="AB85">
        <v>2.0750000000000002</v>
      </c>
      <c r="AC85">
        <v>415333.93279926782</v>
      </c>
      <c r="AD85">
        <v>62.261661773328299</v>
      </c>
      <c r="AE85">
        <v>2.0750000000000002</v>
      </c>
      <c r="AF85">
        <v>2.0750000000000002</v>
      </c>
      <c r="AG85">
        <v>875911.51311978116</v>
      </c>
      <c r="AH85">
        <v>43.795166998812867</v>
      </c>
      <c r="AI85">
        <v>2.0750000000000002</v>
      </c>
      <c r="AJ85">
        <v>2.0750000000000002</v>
      </c>
      <c r="AK85">
        <v>1254090.229394237</v>
      </c>
    </row>
    <row r="86" spans="1:37" x14ac:dyDescent="0.4">
      <c r="A86" t="s">
        <v>94</v>
      </c>
      <c r="B86">
        <v>-2.6599497523483482</v>
      </c>
      <c r="C86">
        <v>911.31213567483894</v>
      </c>
      <c r="D86" t="s">
        <v>171</v>
      </c>
      <c r="E86">
        <v>0.10372875957094729</v>
      </c>
      <c r="F86">
        <v>911.5880489631711</v>
      </c>
      <c r="G86">
        <v>0.15287320479879521</v>
      </c>
      <c r="H86">
        <v>911.71877071808422</v>
      </c>
      <c r="I86" t="s">
        <v>256</v>
      </c>
      <c r="J86" t="s">
        <v>417</v>
      </c>
      <c r="L86">
        <v>911.26247940004475</v>
      </c>
      <c r="M86">
        <v>-3.138655534664339</v>
      </c>
      <c r="N86">
        <v>2.5000000000000001E-2</v>
      </c>
      <c r="O86">
        <f t="shared" si="6"/>
        <v>-0.47870578231599081</v>
      </c>
      <c r="P86">
        <f t="shared" si="7"/>
        <v>-3.0894159094763447</v>
      </c>
      <c r="Q86">
        <f t="shared" si="8"/>
        <v>-177.01049277356532</v>
      </c>
      <c r="R86">
        <v>2.5000000000000001E-2</v>
      </c>
      <c r="S86">
        <f t="shared" si="9"/>
        <v>-0.99863910247260845</v>
      </c>
      <c r="T86">
        <v>141.45011001155081</v>
      </c>
      <c r="U86">
        <f t="shared" si="10"/>
        <v>-141.64287144507304</v>
      </c>
      <c r="V86">
        <v>2.1</v>
      </c>
      <c r="W86">
        <v>2.1</v>
      </c>
      <c r="X86">
        <v>93386.96963147448</v>
      </c>
      <c r="Y86">
        <f t="shared" si="11"/>
        <v>-93514.232919830989</v>
      </c>
      <c r="Z86">
        <v>93.550107527231816</v>
      </c>
      <c r="AA86">
        <v>2.1</v>
      </c>
      <c r="AB86">
        <v>2.1</v>
      </c>
      <c r="AC86">
        <v>395646.5880197112</v>
      </c>
      <c r="AD86">
        <v>61.402903240563617</v>
      </c>
      <c r="AE86">
        <v>2.1</v>
      </c>
      <c r="AF86">
        <v>2.1</v>
      </c>
      <c r="AG86">
        <v>856195.13829309982</v>
      </c>
      <c r="AH86">
        <v>43.284929547008353</v>
      </c>
      <c r="AI86">
        <v>2.1</v>
      </c>
      <c r="AJ86">
        <v>2.1</v>
      </c>
      <c r="AK86">
        <v>1264554.1856035111</v>
      </c>
    </row>
    <row r="87" spans="1:37" x14ac:dyDescent="0.4">
      <c r="A87" t="s">
        <v>95</v>
      </c>
      <c r="B87">
        <v>-3.6562278620579409</v>
      </c>
      <c r="C87">
        <v>911.4500900527994</v>
      </c>
      <c r="D87" t="s">
        <v>171</v>
      </c>
      <c r="E87">
        <v>2.207092145378033E-2</v>
      </c>
      <c r="F87">
        <v>911.53078637075998</v>
      </c>
      <c r="G87">
        <v>0.15804040496909369</v>
      </c>
      <c r="H87">
        <v>912.0279217847783</v>
      </c>
      <c r="I87" t="s">
        <v>257</v>
      </c>
      <c r="J87" t="s">
        <v>418</v>
      </c>
      <c r="L87">
        <v>911.49297371033242</v>
      </c>
      <c r="M87">
        <v>-1.713211438884094</v>
      </c>
      <c r="N87">
        <v>0.05</v>
      </c>
      <c r="O87">
        <f t="shared" si="6"/>
        <v>1.9430164231738469</v>
      </c>
      <c r="P87">
        <f t="shared" si="7"/>
        <v>-2.5727506558224755E-2</v>
      </c>
      <c r="Q87">
        <f t="shared" si="8"/>
        <v>-1.474077543181425</v>
      </c>
      <c r="R87">
        <v>0.05</v>
      </c>
      <c r="S87">
        <f t="shared" si="9"/>
        <v>0.99966906595764926</v>
      </c>
      <c r="U87">
        <f t="shared" si="10"/>
        <v>0</v>
      </c>
      <c r="W87">
        <v>2.125</v>
      </c>
      <c r="Y87">
        <f t="shared" si="11"/>
        <v>0</v>
      </c>
      <c r="AA87">
        <v>2.125</v>
      </c>
      <c r="AB87">
        <v>2.125</v>
      </c>
      <c r="AD87">
        <v>61.077259881561567</v>
      </c>
      <c r="AE87">
        <v>2.125</v>
      </c>
      <c r="AF87">
        <v>2.125</v>
      </c>
      <c r="AG87">
        <v>833786.17907851667</v>
      </c>
      <c r="AH87">
        <v>43.158547713273578</v>
      </c>
      <c r="AI87">
        <v>2.125</v>
      </c>
      <c r="AJ87">
        <v>2.125</v>
      </c>
      <c r="AK87">
        <v>1192175.667964115</v>
      </c>
    </row>
    <row r="88" spans="1:37" x14ac:dyDescent="0.4">
      <c r="A88" t="s">
        <v>96</v>
      </c>
      <c r="B88">
        <v>-5.6399647439258684</v>
      </c>
      <c r="C88">
        <v>911.4524905412552</v>
      </c>
      <c r="D88" t="s">
        <v>171</v>
      </c>
      <c r="E88">
        <v>-3.0898406756188442E-2</v>
      </c>
      <c r="F88">
        <v>911.2782246165068</v>
      </c>
      <c r="G88">
        <v>0.1569313068069948</v>
      </c>
      <c r="H88">
        <v>912.33757757886485</v>
      </c>
      <c r="I88" t="s">
        <v>258</v>
      </c>
      <c r="J88" t="s">
        <v>419</v>
      </c>
      <c r="L88">
        <v>911.35711919386495</v>
      </c>
      <c r="M88">
        <v>-2.5533754244590359</v>
      </c>
      <c r="N88">
        <v>7.4999999999999997E-2</v>
      </c>
      <c r="O88">
        <f t="shared" si="6"/>
        <v>3.0865893194668326</v>
      </c>
      <c r="P88">
        <f t="shared" si="7"/>
        <v>-2.4293884555948386E-2</v>
      </c>
      <c r="Q88">
        <f t="shared" si="8"/>
        <v>-1.3919370530338946</v>
      </c>
      <c r="R88">
        <v>7.4999999999999997E-2</v>
      </c>
      <c r="S88">
        <f t="shared" si="9"/>
        <v>0.99970491809995443</v>
      </c>
      <c r="U88">
        <f t="shared" si="10"/>
        <v>0</v>
      </c>
      <c r="W88">
        <v>2.15</v>
      </c>
      <c r="Y88">
        <f t="shared" si="11"/>
        <v>0</v>
      </c>
      <c r="Z88">
        <v>93.09213999622034</v>
      </c>
      <c r="AA88">
        <v>2.15</v>
      </c>
      <c r="AB88">
        <v>2.15</v>
      </c>
      <c r="AC88">
        <v>385298.33353518328</v>
      </c>
      <c r="AD88">
        <v>59.620085635254263</v>
      </c>
      <c r="AE88">
        <v>2.15</v>
      </c>
      <c r="AF88">
        <v>2.15</v>
      </c>
      <c r="AG88">
        <v>784025.11683184386</v>
      </c>
      <c r="AH88">
        <v>41.626419395743071</v>
      </c>
      <c r="AI88">
        <v>2.15</v>
      </c>
      <c r="AJ88">
        <v>2.15</v>
      </c>
      <c r="AK88">
        <v>1124719.4649942219</v>
      </c>
    </row>
    <row r="89" spans="1:37" x14ac:dyDescent="0.4">
      <c r="A89" t="s">
        <v>97</v>
      </c>
      <c r="B89">
        <v>-5.6754567174602402</v>
      </c>
      <c r="C89">
        <v>911.7783877281064</v>
      </c>
      <c r="D89" t="s">
        <v>171</v>
      </c>
      <c r="E89">
        <v>-0.1085467407220161</v>
      </c>
      <c r="F89">
        <v>911.16233539931716</v>
      </c>
      <c r="G89">
        <v>0.1543789404802389</v>
      </c>
      <c r="H89">
        <v>912.65455872288931</v>
      </c>
      <c r="I89" t="s">
        <v>259</v>
      </c>
      <c r="J89" t="s">
        <v>420</v>
      </c>
      <c r="L89">
        <v>911.4064088019478</v>
      </c>
      <c r="M89">
        <v>-2.2485541005080441</v>
      </c>
      <c r="N89">
        <v>0.1</v>
      </c>
      <c r="O89">
        <f t="shared" si="6"/>
        <v>3.4269026169521961</v>
      </c>
      <c r="P89">
        <f t="shared" si="7"/>
        <v>-2.9172591567834472E-2</v>
      </c>
      <c r="Q89">
        <f t="shared" si="8"/>
        <v>-1.6714663742958484</v>
      </c>
      <c r="R89">
        <v>0.1</v>
      </c>
      <c r="S89">
        <f t="shared" si="9"/>
        <v>0.99957451012763754</v>
      </c>
      <c r="T89">
        <v>140.57565288102001</v>
      </c>
      <c r="U89">
        <f t="shared" si="10"/>
        <v>140.6354918585005</v>
      </c>
      <c r="V89">
        <v>2.1749999999999998</v>
      </c>
      <c r="W89">
        <v>2.1749999999999998</v>
      </c>
      <c r="X89">
        <v>89758.720710939582</v>
      </c>
      <c r="Y89">
        <f t="shared" si="11"/>
        <v>89796.928394540722</v>
      </c>
      <c r="Z89">
        <v>89.310483739297624</v>
      </c>
      <c r="AA89">
        <v>2.1749999999999998</v>
      </c>
      <c r="AB89">
        <v>2.1749999999999998</v>
      </c>
      <c r="AC89">
        <v>368735.88597598177</v>
      </c>
      <c r="AD89">
        <v>58.777378172417848</v>
      </c>
      <c r="AE89">
        <v>2.2000000000000002</v>
      </c>
      <c r="AF89">
        <v>2.1749999999999998</v>
      </c>
      <c r="AG89">
        <v>744578.99812414858</v>
      </c>
      <c r="AH89">
        <v>42.145845985722929</v>
      </c>
      <c r="AI89">
        <v>2.1749999999999998</v>
      </c>
      <c r="AJ89">
        <v>2.1749999999999998</v>
      </c>
      <c r="AK89">
        <v>1135157.823863134</v>
      </c>
    </row>
    <row r="90" spans="1:37" x14ac:dyDescent="0.4">
      <c r="A90" t="s">
        <v>98</v>
      </c>
      <c r="B90">
        <v>-5.9039250220902693</v>
      </c>
      <c r="C90">
        <v>912.04665801411466</v>
      </c>
      <c r="D90" t="s">
        <v>171</v>
      </c>
      <c r="E90">
        <v>-0.18282144872116571</v>
      </c>
      <c r="F90">
        <v>910.96729388843494</v>
      </c>
      <c r="G90">
        <v>0.15449524334995191</v>
      </c>
      <c r="H90">
        <v>912.95878634712233</v>
      </c>
      <c r="I90" t="s">
        <v>260</v>
      </c>
      <c r="J90" t="s">
        <v>421</v>
      </c>
      <c r="L90">
        <v>911.39325210887</v>
      </c>
      <c r="M90">
        <v>-2.3299189309213189</v>
      </c>
      <c r="N90">
        <v>0.125</v>
      </c>
      <c r="O90">
        <f t="shared" si="6"/>
        <v>3.5740060911689504</v>
      </c>
      <c r="P90">
        <f t="shared" si="7"/>
        <v>-3.4960508212720454E-2</v>
      </c>
      <c r="Q90">
        <f t="shared" si="8"/>
        <v>-2.0030895702213347</v>
      </c>
      <c r="R90">
        <v>0.125</v>
      </c>
      <c r="S90">
        <f t="shared" si="9"/>
        <v>0.99938894367453546</v>
      </c>
      <c r="T90">
        <v>144.08155843738251</v>
      </c>
      <c r="U90">
        <f t="shared" si="10"/>
        <v>144.16965421653157</v>
      </c>
      <c r="V90">
        <v>2.2000000000000002</v>
      </c>
      <c r="W90">
        <v>2.2000000000000002</v>
      </c>
      <c r="X90">
        <v>88163.880405338379</v>
      </c>
      <c r="Y90">
        <f t="shared" si="11"/>
        <v>88217.786441762102</v>
      </c>
      <c r="Z90">
        <v>91.283726096893062</v>
      </c>
      <c r="AA90">
        <v>2.2000000000000002</v>
      </c>
      <c r="AB90">
        <v>2.2000000000000002</v>
      </c>
      <c r="AC90">
        <v>373209.2022531472</v>
      </c>
      <c r="AD90">
        <v>57.1696076629987</v>
      </c>
      <c r="AE90">
        <v>2.2250000000000001</v>
      </c>
      <c r="AF90">
        <v>2.2000000000000002</v>
      </c>
      <c r="AG90">
        <v>706148.94810870802</v>
      </c>
      <c r="AH90">
        <v>41.197363966038843</v>
      </c>
      <c r="AI90">
        <v>2.2000000000000002</v>
      </c>
      <c r="AJ90">
        <v>2.2000000000000002</v>
      </c>
      <c r="AK90">
        <v>1060243.089405715</v>
      </c>
    </row>
    <row r="91" spans="1:37" x14ac:dyDescent="0.4">
      <c r="A91" t="s">
        <v>99</v>
      </c>
      <c r="B91">
        <v>-5.9048009539657969</v>
      </c>
      <c r="C91">
        <v>912.33451612487386</v>
      </c>
      <c r="D91" t="s">
        <v>171</v>
      </c>
      <c r="E91">
        <v>-0.25440402742014839</v>
      </c>
      <c r="F91">
        <v>910.83231098107058</v>
      </c>
      <c r="G91">
        <v>0.15165635195432289</v>
      </c>
      <c r="H91">
        <v>913.23001669656867</v>
      </c>
      <c r="I91" t="s">
        <v>261</v>
      </c>
      <c r="J91" t="s">
        <v>422</v>
      </c>
      <c r="L91">
        <v>911.40560958005688</v>
      </c>
      <c r="M91">
        <v>-2.2534967219732991</v>
      </c>
      <c r="N91">
        <v>0.15</v>
      </c>
      <c r="O91">
        <f t="shared" si="6"/>
        <v>3.6513042319924978</v>
      </c>
      <c r="P91">
        <f t="shared" si="7"/>
        <v>-4.1058124035442178E-2</v>
      </c>
      <c r="Q91">
        <f t="shared" si="8"/>
        <v>-2.3524572219554809</v>
      </c>
      <c r="R91">
        <v>0.15</v>
      </c>
      <c r="S91">
        <f t="shared" si="9"/>
        <v>0.9991572336278155</v>
      </c>
      <c r="T91">
        <v>141.75349896628219</v>
      </c>
      <c r="U91">
        <f t="shared" si="10"/>
        <v>141.87306481442656</v>
      </c>
      <c r="V91">
        <v>2.2250000000000001</v>
      </c>
      <c r="W91">
        <v>2.2250000000000001</v>
      </c>
      <c r="X91">
        <v>85933.691847197304</v>
      </c>
      <c r="Y91">
        <f t="shared" si="11"/>
        <v>86006.174959253185</v>
      </c>
      <c r="Z91">
        <v>90.887153290543793</v>
      </c>
      <c r="AA91">
        <v>2.2250000000000001</v>
      </c>
      <c r="AB91">
        <v>2.2250000000000001</v>
      </c>
      <c r="AC91">
        <v>369280.80996761622</v>
      </c>
      <c r="AD91">
        <v>57.475915549478941</v>
      </c>
      <c r="AE91">
        <v>2.25</v>
      </c>
      <c r="AF91">
        <v>2.2250000000000001</v>
      </c>
      <c r="AG91">
        <v>719527.63510376378</v>
      </c>
      <c r="AH91">
        <v>40.106226892268332</v>
      </c>
      <c r="AI91">
        <v>2.2250000000000001</v>
      </c>
      <c r="AJ91">
        <v>2.2250000000000001</v>
      </c>
      <c r="AK91">
        <v>1021941.529952555</v>
      </c>
    </row>
    <row r="92" spans="1:37" x14ac:dyDescent="0.4">
      <c r="A92" t="s">
        <v>100</v>
      </c>
      <c r="B92">
        <v>-5.9128420481367936</v>
      </c>
      <c r="C92">
        <v>912.61970246535247</v>
      </c>
      <c r="D92" t="s">
        <v>171</v>
      </c>
      <c r="E92">
        <v>-0.32878642133818159</v>
      </c>
      <c r="F92">
        <v>910.67564028840764</v>
      </c>
      <c r="G92">
        <v>0.14984478586991079</v>
      </c>
      <c r="H92">
        <v>913.50571101593812</v>
      </c>
      <c r="I92" t="s">
        <v>262</v>
      </c>
      <c r="J92" t="s">
        <v>423</v>
      </c>
      <c r="L92">
        <v>911.40921903581341</v>
      </c>
      <c r="M92">
        <v>-2.2311747939797222</v>
      </c>
      <c r="N92">
        <v>0.17499999999999999</v>
      </c>
      <c r="O92">
        <f t="shared" si="6"/>
        <v>3.6816672541570714</v>
      </c>
      <c r="P92">
        <f t="shared" si="7"/>
        <v>-4.7497063103036918E-2</v>
      </c>
      <c r="Q92">
        <f t="shared" si="8"/>
        <v>-2.7213812550705612</v>
      </c>
      <c r="R92">
        <v>0.17499999999999999</v>
      </c>
      <c r="S92">
        <f t="shared" si="9"/>
        <v>0.9988722265408958</v>
      </c>
      <c r="T92">
        <v>140.5610679439952</v>
      </c>
      <c r="U92">
        <f t="shared" si="10"/>
        <v>140.7197679634757</v>
      </c>
      <c r="V92">
        <v>2.25</v>
      </c>
      <c r="W92">
        <v>2.25</v>
      </c>
      <c r="X92">
        <v>89463.017813698243</v>
      </c>
      <c r="Y92">
        <f t="shared" si="11"/>
        <v>89564.025744823783</v>
      </c>
      <c r="Z92">
        <v>89.974612434812244</v>
      </c>
      <c r="AA92">
        <v>2.25</v>
      </c>
      <c r="AB92">
        <v>2.25</v>
      </c>
      <c r="AC92">
        <v>360660.82666084787</v>
      </c>
      <c r="AF92">
        <v>2.25</v>
      </c>
      <c r="AH92">
        <v>39.999425345082663</v>
      </c>
      <c r="AI92">
        <v>2.25</v>
      </c>
      <c r="AJ92">
        <v>2.25</v>
      </c>
      <c r="AK92">
        <v>1014656.7140177781</v>
      </c>
    </row>
    <row r="93" spans="1:37" x14ac:dyDescent="0.4">
      <c r="A93" t="s">
        <v>101</v>
      </c>
      <c r="B93">
        <v>-5.719436377075338</v>
      </c>
      <c r="C93">
        <v>912.94033690442734</v>
      </c>
      <c r="D93" t="s">
        <v>171</v>
      </c>
      <c r="E93">
        <v>-0.41285782155519218</v>
      </c>
      <c r="F93">
        <v>910.57902286126455</v>
      </c>
      <c r="G93">
        <v>0.14762994140733901</v>
      </c>
      <c r="H93">
        <v>913.78469696165803</v>
      </c>
      <c r="I93" t="s">
        <v>263</v>
      </c>
      <c r="J93" t="s">
        <v>424</v>
      </c>
      <c r="L93">
        <v>911.43481890270436</v>
      </c>
      <c r="M93">
        <v>-2.0728577445618641</v>
      </c>
      <c r="N93">
        <v>0.2</v>
      </c>
      <c r="O93">
        <f t="shared" si="6"/>
        <v>3.6465786325134739</v>
      </c>
      <c r="P93">
        <f t="shared" si="7"/>
        <v>-5.4791036445474894E-2</v>
      </c>
      <c r="Q93">
        <f t="shared" si="8"/>
        <v>-3.1392951434731873</v>
      </c>
      <c r="R93">
        <v>0.2</v>
      </c>
      <c r="S93">
        <f t="shared" si="9"/>
        <v>0.99849934663963524</v>
      </c>
      <c r="T93">
        <v>139.32067698659301</v>
      </c>
      <c r="U93">
        <f t="shared" si="10"/>
        <v>139.53006324487333</v>
      </c>
      <c r="V93">
        <v>2.2749999999999999</v>
      </c>
      <c r="W93">
        <v>2.2749999999999999</v>
      </c>
      <c r="X93">
        <v>88230.931722249923</v>
      </c>
      <c r="Y93">
        <f t="shared" si="11"/>
        <v>88363.534757617643</v>
      </c>
      <c r="Z93">
        <v>89.046191424712674</v>
      </c>
      <c r="AA93">
        <v>2.2749999999999999</v>
      </c>
      <c r="AB93">
        <v>2.2749999999999999</v>
      </c>
      <c r="AC93">
        <v>353589.80688041809</v>
      </c>
      <c r="AD93">
        <v>56.535703508068323</v>
      </c>
      <c r="AE93">
        <v>2.2749999999999999</v>
      </c>
      <c r="AF93">
        <v>2.2749999999999999</v>
      </c>
      <c r="AG93">
        <v>673729.34881745232</v>
      </c>
      <c r="AH93">
        <v>41.0185733918319</v>
      </c>
      <c r="AI93">
        <v>2.2749999999999999</v>
      </c>
      <c r="AJ93">
        <v>2.2749999999999999</v>
      </c>
      <c r="AK93">
        <v>1023037.46506086</v>
      </c>
    </row>
    <row r="94" spans="1:37" x14ac:dyDescent="0.4">
      <c r="A94" t="s">
        <v>102</v>
      </c>
      <c r="B94">
        <v>-5.5813913921190226</v>
      </c>
      <c r="C94">
        <v>913.19781967667018</v>
      </c>
      <c r="D94" t="s">
        <v>171</v>
      </c>
      <c r="E94">
        <v>-0.49838818348007302</v>
      </c>
      <c r="F94">
        <v>910.41612015946066</v>
      </c>
      <c r="G94">
        <v>0.1495623901536528</v>
      </c>
      <c r="H94">
        <v>914.03258591365852</v>
      </c>
      <c r="I94" t="s">
        <v>264</v>
      </c>
      <c r="J94" t="s">
        <v>425</v>
      </c>
      <c r="L94">
        <v>911.43834362085056</v>
      </c>
      <c r="M94">
        <v>-2.0510598586855142</v>
      </c>
      <c r="N94">
        <v>0.22500000000000001</v>
      </c>
      <c r="O94">
        <f t="shared" si="6"/>
        <v>3.5303315334335084</v>
      </c>
      <c r="P94">
        <f t="shared" si="7"/>
        <v>-6.3647306864204278E-2</v>
      </c>
      <c r="Q94">
        <f t="shared" si="8"/>
        <v>-3.6467220606929396</v>
      </c>
      <c r="R94">
        <v>0.22500000000000001</v>
      </c>
      <c r="S94">
        <f t="shared" si="9"/>
        <v>0.99797519384032152</v>
      </c>
      <c r="T94">
        <v>144.8390105367163</v>
      </c>
      <c r="U94">
        <f t="shared" si="10"/>
        <v>145.13287647898281</v>
      </c>
      <c r="V94">
        <v>2.2999999999999998</v>
      </c>
      <c r="W94">
        <v>2.2999999999999998</v>
      </c>
      <c r="X94">
        <v>87776.228837335395</v>
      </c>
      <c r="Y94">
        <f t="shared" si="11"/>
        <v>87954.319284793572</v>
      </c>
      <c r="Z94">
        <v>84.948496417518641</v>
      </c>
      <c r="AA94">
        <v>2.2999999999999998</v>
      </c>
      <c r="AB94">
        <v>2.2999999999999998</v>
      </c>
      <c r="AC94">
        <v>339253.56083783507</v>
      </c>
      <c r="AD94">
        <v>57.373452287977898</v>
      </c>
      <c r="AE94">
        <v>2.2999999999999998</v>
      </c>
      <c r="AF94">
        <v>2.2999999999999998</v>
      </c>
      <c r="AG94">
        <v>675083.56868044124</v>
      </c>
      <c r="AH94">
        <v>39.68198923236519</v>
      </c>
      <c r="AI94">
        <v>2.2999999999999998</v>
      </c>
      <c r="AJ94">
        <v>2.2999999999999998</v>
      </c>
      <c r="AK94">
        <v>969631.63418313686</v>
      </c>
    </row>
    <row r="95" spans="1:37" x14ac:dyDescent="0.4">
      <c r="A95" t="s">
        <v>103</v>
      </c>
      <c r="B95">
        <v>-5.6094321894549628</v>
      </c>
      <c r="C95">
        <v>913.4486137793275</v>
      </c>
      <c r="D95" t="s">
        <v>171</v>
      </c>
      <c r="E95">
        <v>-0.57174086915978672</v>
      </c>
      <c r="F95">
        <v>910.24147214383561</v>
      </c>
      <c r="G95">
        <v>0.15103572401154869</v>
      </c>
      <c r="H95">
        <v>914.29583843135549</v>
      </c>
      <c r="I95" t="s">
        <v>265</v>
      </c>
      <c r="J95" t="s">
        <v>426</v>
      </c>
      <c r="L95">
        <v>911.43300905239823</v>
      </c>
      <c r="M95">
        <v>-2.0840503871476201</v>
      </c>
      <c r="N95">
        <v>0.25</v>
      </c>
      <c r="O95">
        <f t="shared" si="6"/>
        <v>3.5253818023073427</v>
      </c>
      <c r="P95">
        <f t="shared" si="7"/>
        <v>-7.079579008625525E-2</v>
      </c>
      <c r="Q95">
        <f t="shared" si="8"/>
        <v>-4.0562999792365408</v>
      </c>
      <c r="R95">
        <v>0.25</v>
      </c>
      <c r="S95">
        <f t="shared" si="9"/>
        <v>0.99749502456917816</v>
      </c>
      <c r="T95">
        <v>141.44250158124959</v>
      </c>
      <c r="U95">
        <f t="shared" si="10"/>
        <v>141.79770133925143</v>
      </c>
      <c r="V95">
        <v>2.3250000000000002</v>
      </c>
      <c r="W95">
        <v>2.3250000000000002</v>
      </c>
      <c r="X95">
        <v>88974.978323087751</v>
      </c>
      <c r="Y95">
        <f t="shared" si="11"/>
        <v>89198.418169069439</v>
      </c>
      <c r="AB95">
        <v>2.3250000000000002</v>
      </c>
      <c r="AD95">
        <v>55.055389332608897</v>
      </c>
      <c r="AE95">
        <v>2.3250000000000002</v>
      </c>
      <c r="AF95">
        <v>2.3250000000000002</v>
      </c>
      <c r="AG95">
        <v>626003.95845941594</v>
      </c>
      <c r="AJ95">
        <v>2.3250000000000002</v>
      </c>
    </row>
    <row r="96" spans="1:37" x14ac:dyDescent="0.4">
      <c r="A96" t="s">
        <v>104</v>
      </c>
      <c r="B96">
        <v>-5.4979337629805514</v>
      </c>
      <c r="C96">
        <v>913.76523637590128</v>
      </c>
      <c r="D96" t="s">
        <v>171</v>
      </c>
      <c r="E96">
        <v>-0.65671836481779211</v>
      </c>
      <c r="F96">
        <v>910.15464230520013</v>
      </c>
      <c r="G96">
        <v>0.14800925541666629</v>
      </c>
      <c r="H96">
        <v>914.57898145849015</v>
      </c>
      <c r="I96" t="s">
        <v>266</v>
      </c>
      <c r="J96" t="s">
        <v>427</v>
      </c>
      <c r="L96">
        <v>911.45084354376365</v>
      </c>
      <c r="M96">
        <v>-1.9737566866809071</v>
      </c>
      <c r="N96">
        <v>0.27500000000000002</v>
      </c>
      <c r="O96">
        <f t="shared" si="6"/>
        <v>3.5241770762996443</v>
      </c>
      <c r="P96">
        <f t="shared" si="7"/>
        <v>-7.7874596255628648E-2</v>
      </c>
      <c r="Q96">
        <f t="shared" si="8"/>
        <v>-4.4618856967328053</v>
      </c>
      <c r="R96">
        <v>0.27500000000000002</v>
      </c>
      <c r="S96">
        <f t="shared" si="9"/>
        <v>0.99696930571873366</v>
      </c>
      <c r="T96">
        <v>136.81428917942421</v>
      </c>
      <c r="U96">
        <f t="shared" si="10"/>
        <v>137.23019193734581</v>
      </c>
      <c r="V96">
        <v>2.35</v>
      </c>
      <c r="W96">
        <v>2.35</v>
      </c>
      <c r="X96">
        <v>75315.511702259086</v>
      </c>
      <c r="Y96">
        <f t="shared" si="11"/>
        <v>75544.463876912181</v>
      </c>
      <c r="Z96">
        <v>87.289783077089012</v>
      </c>
      <c r="AA96">
        <v>2.35</v>
      </c>
      <c r="AB96">
        <v>2.35</v>
      </c>
      <c r="AC96">
        <v>337742.06971329451</v>
      </c>
      <c r="AD96">
        <v>54.44068331291475</v>
      </c>
      <c r="AE96">
        <v>2.35</v>
      </c>
      <c r="AF96">
        <v>2.35</v>
      </c>
      <c r="AG96">
        <v>624492.50335893361</v>
      </c>
      <c r="AJ96">
        <v>2.35</v>
      </c>
    </row>
    <row r="97" spans="1:37" x14ac:dyDescent="0.4">
      <c r="A97" t="s">
        <v>105</v>
      </c>
      <c r="B97">
        <v>-5.60835957950514</v>
      </c>
      <c r="C97">
        <v>914.0274206339393</v>
      </c>
      <c r="D97" t="s">
        <v>171</v>
      </c>
      <c r="E97">
        <v>-0.72047182037631519</v>
      </c>
      <c r="F97">
        <v>909.98675559836829</v>
      </c>
      <c r="G97">
        <v>0.147622784613544</v>
      </c>
      <c r="H97">
        <v>914.8553422921799</v>
      </c>
      <c r="I97" t="s">
        <v>267</v>
      </c>
      <c r="J97" t="s">
        <v>428</v>
      </c>
      <c r="L97">
        <v>911.44313567558254</v>
      </c>
      <c r="M97">
        <v>-2.02142439342891</v>
      </c>
      <c r="N97">
        <v>0.3</v>
      </c>
      <c r="O97">
        <f t="shared" si="6"/>
        <v>3.58693518607623</v>
      </c>
      <c r="P97">
        <f t="shared" si="7"/>
        <v>-8.3442658798002389E-2</v>
      </c>
      <c r="Q97">
        <f t="shared" si="8"/>
        <v>-4.7809121804757044</v>
      </c>
      <c r="R97">
        <v>0.3</v>
      </c>
      <c r="S97">
        <f t="shared" si="9"/>
        <v>0.99652068083074585</v>
      </c>
      <c r="T97">
        <v>139.40623823389049</v>
      </c>
      <c r="U97">
        <f t="shared" si="10"/>
        <v>139.89297052789209</v>
      </c>
      <c r="V97">
        <v>2.375</v>
      </c>
      <c r="W97">
        <v>2.375</v>
      </c>
      <c r="X97">
        <v>84480.768964649367</v>
      </c>
      <c r="Y97">
        <f t="shared" si="11"/>
        <v>84775.730789874098</v>
      </c>
      <c r="Z97">
        <v>86.58763481967361</v>
      </c>
      <c r="AA97">
        <v>2.375</v>
      </c>
      <c r="AB97">
        <v>2.375</v>
      </c>
      <c r="AC97">
        <v>345239.70967423578</v>
      </c>
      <c r="AD97">
        <v>52.881891314294663</v>
      </c>
      <c r="AE97">
        <v>2.375</v>
      </c>
      <c r="AF97">
        <v>2.375</v>
      </c>
      <c r="AG97">
        <v>578814.82480387017</v>
      </c>
      <c r="AH97">
        <v>38.861763859807638</v>
      </c>
      <c r="AI97">
        <v>2.375</v>
      </c>
      <c r="AJ97">
        <v>2.375</v>
      </c>
      <c r="AK97">
        <v>907806.03892314143</v>
      </c>
    </row>
    <row r="98" spans="1:37" x14ac:dyDescent="0.4">
      <c r="A98" t="s">
        <v>106</v>
      </c>
      <c r="B98">
        <v>-5.6873000584451603</v>
      </c>
      <c r="C98">
        <v>914.31175579367641</v>
      </c>
      <c r="D98" t="s">
        <v>171</v>
      </c>
      <c r="E98">
        <v>-0.78596810708708553</v>
      </c>
      <c r="F98">
        <v>909.84171933230402</v>
      </c>
      <c r="G98">
        <v>0.1453410232373637</v>
      </c>
      <c r="H98">
        <v>915.13835380362877</v>
      </c>
      <c r="I98" t="s">
        <v>268</v>
      </c>
      <c r="J98" t="s">
        <v>429</v>
      </c>
      <c r="L98">
        <v>911.44097861519015</v>
      </c>
      <c r="M98">
        <v>-2.0347642845384351</v>
      </c>
      <c r="N98">
        <v>0.32500000000000001</v>
      </c>
      <c r="O98">
        <f t="shared" si="6"/>
        <v>3.6525357739067252</v>
      </c>
      <c r="P98">
        <f t="shared" si="7"/>
        <v>-8.874556275455836E-2</v>
      </c>
      <c r="Q98">
        <f t="shared" si="8"/>
        <v>-5.0847461963495864</v>
      </c>
      <c r="R98">
        <v>0.32500000000000001</v>
      </c>
      <c r="S98">
        <f t="shared" si="9"/>
        <v>0.99606469636022144</v>
      </c>
      <c r="T98">
        <v>136.56287581399729</v>
      </c>
      <c r="U98">
        <f t="shared" si="10"/>
        <v>137.10241544853434</v>
      </c>
      <c r="V98">
        <v>2.4</v>
      </c>
      <c r="W98">
        <v>2.4</v>
      </c>
      <c r="X98">
        <v>81174.399092927459</v>
      </c>
      <c r="Y98">
        <f t="shared" si="11"/>
        <v>81495.10708446108</v>
      </c>
      <c r="AB98">
        <v>2.4</v>
      </c>
      <c r="AD98">
        <v>51.599815983959338</v>
      </c>
      <c r="AE98">
        <v>2.4</v>
      </c>
      <c r="AF98">
        <v>2.4</v>
      </c>
      <c r="AG98">
        <v>555424.40244839014</v>
      </c>
      <c r="AH98">
        <v>37.668080775594397</v>
      </c>
      <c r="AI98">
        <v>2.4</v>
      </c>
      <c r="AJ98">
        <v>2.4</v>
      </c>
      <c r="AK98">
        <v>897521.19276285451</v>
      </c>
    </row>
    <row r="99" spans="1:37" x14ac:dyDescent="0.4">
      <c r="A99" t="s">
        <v>107</v>
      </c>
      <c r="B99">
        <v>-5.6138241579878851</v>
      </c>
      <c r="C99">
        <v>914.58958771646451</v>
      </c>
      <c r="D99" t="s">
        <v>171</v>
      </c>
      <c r="E99">
        <v>-0.86519730244034443</v>
      </c>
      <c r="F99">
        <v>909.73252219859899</v>
      </c>
      <c r="G99">
        <v>0.14698016309828821</v>
      </c>
      <c r="H99">
        <v>915.41470850681071</v>
      </c>
      <c r="I99" t="s">
        <v>269</v>
      </c>
      <c r="J99" t="s">
        <v>430</v>
      </c>
      <c r="L99">
        <v>911.44916919359969</v>
      </c>
      <c r="M99">
        <v>-1.9841113568351689</v>
      </c>
      <c r="N99">
        <v>0.35</v>
      </c>
      <c r="O99">
        <f t="shared" si="6"/>
        <v>3.6297128011527162</v>
      </c>
      <c r="P99">
        <f t="shared" si="7"/>
        <v>-9.6129159316409307E-2</v>
      </c>
      <c r="Q99">
        <f t="shared" si="8"/>
        <v>-5.5077951169709509</v>
      </c>
      <c r="R99">
        <v>0.35</v>
      </c>
      <c r="S99">
        <f t="shared" si="9"/>
        <v>0.99538314929655802</v>
      </c>
      <c r="T99">
        <v>124.3778099856863</v>
      </c>
      <c r="U99">
        <f t="shared" si="10"/>
        <v>124.95470721358372</v>
      </c>
      <c r="V99">
        <v>2.4249999999999998</v>
      </c>
      <c r="W99">
        <v>2.4249999999999998</v>
      </c>
      <c r="X99">
        <v>63023.078806091711</v>
      </c>
      <c r="Y99">
        <f t="shared" si="11"/>
        <v>63315.396539142159</v>
      </c>
      <c r="Z99">
        <v>81.547417757470598</v>
      </c>
      <c r="AA99">
        <v>2.4249999999999998</v>
      </c>
      <c r="AB99">
        <v>2.4249999999999998</v>
      </c>
      <c r="AC99">
        <v>309640.51125062571</v>
      </c>
      <c r="AD99">
        <v>50.722373117597051</v>
      </c>
      <c r="AE99">
        <v>2.4249999999999998</v>
      </c>
      <c r="AF99">
        <v>2.4249999999999998</v>
      </c>
      <c r="AG99">
        <v>566866.71793662524</v>
      </c>
      <c r="AJ99">
        <v>2.4249999999999998</v>
      </c>
    </row>
    <row r="100" spans="1:37" x14ac:dyDescent="0.4">
      <c r="A100" t="s">
        <v>108</v>
      </c>
      <c r="B100">
        <v>-5.7232524931501434</v>
      </c>
      <c r="C100">
        <v>914.83948069056373</v>
      </c>
      <c r="D100" t="s">
        <v>171</v>
      </c>
      <c r="E100">
        <v>-0.93184048884532411</v>
      </c>
      <c r="F100">
        <v>909.50632228956147</v>
      </c>
      <c r="G100">
        <v>0.1477557484274083</v>
      </c>
      <c r="H100">
        <v>915.68512414612815</v>
      </c>
      <c r="I100" t="s">
        <v>270</v>
      </c>
      <c r="J100" t="s">
        <v>431</v>
      </c>
      <c r="L100">
        <v>911.4352735770068</v>
      </c>
      <c r="M100">
        <v>-2.0700459059568259</v>
      </c>
      <c r="N100">
        <v>0.375</v>
      </c>
      <c r="O100">
        <f t="shared" si="6"/>
        <v>3.6532065871933175</v>
      </c>
      <c r="P100">
        <f t="shared" si="7"/>
        <v>-0.10229127199776622</v>
      </c>
      <c r="Q100">
        <f t="shared" si="8"/>
        <v>-5.8608581664967447</v>
      </c>
      <c r="R100">
        <v>0.375</v>
      </c>
      <c r="S100">
        <f t="shared" si="9"/>
        <v>0.99477280811751456</v>
      </c>
      <c r="T100">
        <v>136.63039470697379</v>
      </c>
      <c r="U100">
        <f t="shared" si="10"/>
        <v>137.34834083928172</v>
      </c>
      <c r="V100">
        <v>2.4500000000000002</v>
      </c>
      <c r="W100">
        <v>2.4500000000000002</v>
      </c>
      <c r="X100">
        <v>84003.32156177354</v>
      </c>
      <c r="Y100">
        <f t="shared" si="11"/>
        <v>84444.730370886915</v>
      </c>
      <c r="Z100">
        <v>83.344837980603131</v>
      </c>
      <c r="AA100">
        <v>2.4500000000000002</v>
      </c>
      <c r="AB100">
        <v>2.4500000000000002</v>
      </c>
      <c r="AC100">
        <v>326890.28292802529</v>
      </c>
      <c r="AD100">
        <v>49.31705297265232</v>
      </c>
      <c r="AE100">
        <v>2.4500000000000002</v>
      </c>
      <c r="AF100">
        <v>2.4500000000000002</v>
      </c>
      <c r="AG100">
        <v>528895.01707804843</v>
      </c>
      <c r="AH100">
        <v>35.291455351638312</v>
      </c>
      <c r="AI100">
        <v>2.4500000000000002</v>
      </c>
      <c r="AJ100">
        <v>2.4500000000000002</v>
      </c>
      <c r="AK100">
        <v>819282.9984516002</v>
      </c>
    </row>
    <row r="101" spans="1:37" x14ac:dyDescent="0.4">
      <c r="A101" t="s">
        <v>109</v>
      </c>
      <c r="B101">
        <v>-5.7260268306598823</v>
      </c>
      <c r="C101">
        <v>915.20082487497996</v>
      </c>
      <c r="D101" t="s">
        <v>171</v>
      </c>
      <c r="E101">
        <v>-1.012295705565049</v>
      </c>
      <c r="F101">
        <v>909.4043925043527</v>
      </c>
      <c r="G101">
        <v>0.1385131356992142</v>
      </c>
      <c r="H101">
        <v>915.99395480639248</v>
      </c>
      <c r="I101" t="s">
        <v>271</v>
      </c>
      <c r="J101" t="s">
        <v>432</v>
      </c>
      <c r="L101">
        <v>911.44417380306231</v>
      </c>
      <c r="M101">
        <v>-2.0150043100657542</v>
      </c>
      <c r="N101">
        <v>0.4</v>
      </c>
      <c r="O101">
        <f t="shared" si="6"/>
        <v>3.7110225205941281</v>
      </c>
      <c r="P101">
        <f t="shared" si="7"/>
        <v>-0.1073724655442887</v>
      </c>
      <c r="Q101">
        <f t="shared" si="8"/>
        <v>-6.1519891116015941</v>
      </c>
      <c r="R101">
        <v>0.4</v>
      </c>
      <c r="S101">
        <f t="shared" si="9"/>
        <v>0.99424111278941008</v>
      </c>
      <c r="T101">
        <v>134.47411433770469</v>
      </c>
      <c r="U101">
        <f t="shared" si="10"/>
        <v>135.25302123187055</v>
      </c>
      <c r="V101">
        <v>2.4750000000000001</v>
      </c>
      <c r="W101">
        <v>2.4750000000000001</v>
      </c>
      <c r="X101">
        <v>86714.505353736837</v>
      </c>
      <c r="Y101">
        <f t="shared" si="11"/>
        <v>87216.776934976544</v>
      </c>
      <c r="Z101">
        <v>78.975806603716748</v>
      </c>
      <c r="AA101">
        <v>2.4750000000000001</v>
      </c>
      <c r="AB101">
        <v>2.4750000000000001</v>
      </c>
      <c r="AC101">
        <v>299235.05163390032</v>
      </c>
      <c r="AD101">
        <v>48.563635125507332</v>
      </c>
      <c r="AE101">
        <v>2.4750000000000001</v>
      </c>
      <c r="AF101">
        <v>2.4750000000000001</v>
      </c>
      <c r="AG101">
        <v>529471.07876622549</v>
      </c>
      <c r="AH101">
        <v>34.927018295551022</v>
      </c>
      <c r="AI101">
        <v>2.4750000000000001</v>
      </c>
      <c r="AJ101">
        <v>2.4750000000000001</v>
      </c>
      <c r="AK101">
        <v>771939.64664505643</v>
      </c>
    </row>
    <row r="102" spans="1:37" x14ac:dyDescent="0.4">
      <c r="A102" t="s">
        <v>110</v>
      </c>
      <c r="B102">
        <v>-5.5890526094095607</v>
      </c>
      <c r="C102">
        <v>915.43654257284823</v>
      </c>
      <c r="D102" t="s">
        <v>171</v>
      </c>
      <c r="E102">
        <v>-1.103547635202401</v>
      </c>
      <c r="F102">
        <v>909.26875678271244</v>
      </c>
      <c r="G102">
        <v>0.14317060075971719</v>
      </c>
      <c r="H102">
        <v>916.236730592615</v>
      </c>
      <c r="I102" t="s">
        <v>272</v>
      </c>
      <c r="J102" t="s">
        <v>433</v>
      </c>
      <c r="L102">
        <v>911.45033856358589</v>
      </c>
      <c r="M102">
        <v>-1.976879631503019</v>
      </c>
      <c r="N102">
        <v>0.42499999999999999</v>
      </c>
      <c r="O102">
        <f t="shared" si="6"/>
        <v>3.6121729779065417</v>
      </c>
      <c r="P102">
        <f t="shared" si="7"/>
        <v>-0.11711925012946223</v>
      </c>
      <c r="Q102">
        <f t="shared" si="8"/>
        <v>-6.7104387321552066</v>
      </c>
      <c r="R102">
        <v>0.42499999999999999</v>
      </c>
      <c r="S102">
        <f t="shared" si="9"/>
        <v>0.99314937678503046</v>
      </c>
      <c r="T102">
        <v>130.07401166190311</v>
      </c>
      <c r="U102">
        <f t="shared" si="10"/>
        <v>130.9712463224532</v>
      </c>
      <c r="V102">
        <v>2.5</v>
      </c>
      <c r="W102">
        <v>2.5</v>
      </c>
      <c r="X102">
        <v>81597.856536587511</v>
      </c>
      <c r="Y102">
        <f t="shared" si="11"/>
        <v>82160.708594241572</v>
      </c>
      <c r="Z102">
        <v>80.079722880850412</v>
      </c>
      <c r="AA102">
        <v>2.5</v>
      </c>
      <c r="AB102">
        <v>2.5</v>
      </c>
      <c r="AC102">
        <v>296647.53226675681</v>
      </c>
      <c r="AD102">
        <v>46.306913972856208</v>
      </c>
      <c r="AE102">
        <v>2.5</v>
      </c>
      <c r="AF102">
        <v>2.5</v>
      </c>
      <c r="AG102">
        <v>480855.8271936177</v>
      </c>
      <c r="AH102">
        <v>33.537709625214447</v>
      </c>
      <c r="AI102">
        <v>2.5</v>
      </c>
      <c r="AJ102">
        <v>2.5</v>
      </c>
      <c r="AK102">
        <v>738945.94589787128</v>
      </c>
    </row>
    <row r="103" spans="1:37" x14ac:dyDescent="0.4">
      <c r="A103" t="s">
        <v>111</v>
      </c>
      <c r="B103">
        <v>-5.5994200625302932</v>
      </c>
      <c r="C103">
        <v>915.68916804444598</v>
      </c>
      <c r="D103" t="s">
        <v>171</v>
      </c>
      <c r="E103">
        <v>-1.179112435814659</v>
      </c>
      <c r="F103">
        <v>909.0868222153664</v>
      </c>
      <c r="G103">
        <v>0.1416082788570491</v>
      </c>
      <c r="H103">
        <v>916.48209228209851</v>
      </c>
      <c r="I103" t="s">
        <v>273</v>
      </c>
      <c r="J103" t="s">
        <v>434</v>
      </c>
      <c r="L103">
        <v>911.44641258983359</v>
      </c>
      <c r="M103">
        <v>-2.0011589991736338</v>
      </c>
      <c r="N103">
        <v>0.45</v>
      </c>
      <c r="O103">
        <f t="shared" si="6"/>
        <v>3.5982610633566594</v>
      </c>
      <c r="P103">
        <f t="shared" si="7"/>
        <v>-0.12441447366076397</v>
      </c>
      <c r="Q103">
        <f t="shared" si="8"/>
        <v>-7.1284242511033202</v>
      </c>
      <c r="R103">
        <v>0.45</v>
      </c>
      <c r="S103">
        <f t="shared" si="9"/>
        <v>0.99227049748233009</v>
      </c>
      <c r="T103">
        <v>127.727859733324</v>
      </c>
      <c r="U103">
        <f t="shared" si="10"/>
        <v>128.72282311870157</v>
      </c>
      <c r="V103">
        <v>2.5249999999999999</v>
      </c>
      <c r="W103">
        <v>2.5249999999999999</v>
      </c>
      <c r="X103">
        <v>79587.607709389558</v>
      </c>
      <c r="Y103">
        <f t="shared" si="11"/>
        <v>80207.572341741237</v>
      </c>
      <c r="Z103">
        <v>78.540930647704954</v>
      </c>
      <c r="AA103">
        <v>2.5249999999999999</v>
      </c>
      <c r="AB103">
        <v>2.5249999999999999</v>
      </c>
      <c r="AC103">
        <v>290755.91833288729</v>
      </c>
      <c r="AD103">
        <v>44.295381854191987</v>
      </c>
      <c r="AE103">
        <v>2.5249999999999999</v>
      </c>
      <c r="AF103">
        <v>2.5249999999999999</v>
      </c>
      <c r="AG103">
        <v>425677.08582883189</v>
      </c>
      <c r="AH103">
        <v>32.750927998368773</v>
      </c>
      <c r="AI103">
        <v>2.5249999999999999</v>
      </c>
      <c r="AJ103">
        <v>2.5249999999999999</v>
      </c>
      <c r="AK103">
        <v>702774.18849035027</v>
      </c>
    </row>
    <row r="104" spans="1:37" x14ac:dyDescent="0.4">
      <c r="A104" t="s">
        <v>112</v>
      </c>
      <c r="B104">
        <v>-5.5709960408949177</v>
      </c>
      <c r="C104">
        <v>915.9376406649734</v>
      </c>
      <c r="D104" t="s">
        <v>171</v>
      </c>
      <c r="E104">
        <v>-1.255824067046666</v>
      </c>
      <c r="F104">
        <v>908.94144975939582</v>
      </c>
      <c r="G104">
        <v>0.1428067323179944</v>
      </c>
      <c r="H104">
        <v>916.73321640533004</v>
      </c>
      <c r="I104" t="s">
        <v>274</v>
      </c>
      <c r="J104" t="s">
        <v>435</v>
      </c>
      <c r="L104">
        <v>911.4473412407832</v>
      </c>
      <c r="M104">
        <v>-1.995415950629372</v>
      </c>
      <c r="N104">
        <v>0.47499999999999998</v>
      </c>
      <c r="O104">
        <f t="shared" si="6"/>
        <v>3.5755800902655457</v>
      </c>
      <c r="P104">
        <f t="shared" si="7"/>
        <v>-0.13207226508175074</v>
      </c>
      <c r="Q104">
        <f t="shared" si="8"/>
        <v>-7.5671833799173527</v>
      </c>
      <c r="R104">
        <v>0.47499999999999998</v>
      </c>
      <c r="S104">
        <f t="shared" si="9"/>
        <v>0.99129112857718493</v>
      </c>
      <c r="T104">
        <v>127.5680130510309</v>
      </c>
      <c r="U104">
        <f t="shared" si="10"/>
        <v>128.68874680047949</v>
      </c>
      <c r="V104">
        <v>2.5499999999999998</v>
      </c>
      <c r="W104">
        <v>2.5499999999999998</v>
      </c>
      <c r="X104">
        <v>78821.618063986738</v>
      </c>
      <c r="Y104">
        <f t="shared" si="11"/>
        <v>79514.096103251315</v>
      </c>
      <c r="Z104">
        <v>73.504241954417125</v>
      </c>
      <c r="AA104">
        <v>2.5499999999999998</v>
      </c>
      <c r="AB104">
        <v>2.5499999999999998</v>
      </c>
      <c r="AC104">
        <v>270287.39811926888</v>
      </c>
      <c r="AD104">
        <v>43.0636254275976</v>
      </c>
      <c r="AE104">
        <v>2.5499999999999998</v>
      </c>
      <c r="AF104">
        <v>2.5499999999999998</v>
      </c>
      <c r="AG104">
        <v>433908.80459207349</v>
      </c>
      <c r="AJ104">
        <v>2.5499999999999998</v>
      </c>
    </row>
    <row r="105" spans="1:37" x14ac:dyDescent="0.4">
      <c r="A105" t="s">
        <v>113</v>
      </c>
      <c r="B105">
        <v>-5.5344387525496161</v>
      </c>
      <c r="C105">
        <v>916.25714185477102</v>
      </c>
      <c r="D105" t="s">
        <v>171</v>
      </c>
      <c r="E105">
        <v>-1.34860676302587</v>
      </c>
      <c r="F105">
        <v>908.79336032353012</v>
      </c>
      <c r="G105">
        <v>0.1394198724205675</v>
      </c>
      <c r="H105">
        <v>917.02875259957091</v>
      </c>
      <c r="I105" t="s">
        <v>275</v>
      </c>
      <c r="J105" t="s">
        <v>436</v>
      </c>
      <c r="L105">
        <v>911.45130804664211</v>
      </c>
      <c r="M105">
        <v>-1.9708840652926689</v>
      </c>
      <c r="N105">
        <v>0.5</v>
      </c>
      <c r="O105">
        <f t="shared" si="6"/>
        <v>3.5635546872569472</v>
      </c>
      <c r="P105">
        <f t="shared" si="7"/>
        <v>-0.13939932036173253</v>
      </c>
      <c r="Q105">
        <f t="shared" si="8"/>
        <v>-7.9869927237193545</v>
      </c>
      <c r="R105">
        <v>0.5</v>
      </c>
      <c r="S105">
        <f t="shared" si="9"/>
        <v>0.99029963827232792</v>
      </c>
      <c r="T105">
        <v>124.5233108034334</v>
      </c>
      <c r="U105">
        <f t="shared" si="10"/>
        <v>125.74306400906718</v>
      </c>
      <c r="V105">
        <v>2.5750000000000002</v>
      </c>
      <c r="W105">
        <v>2.5750000000000002</v>
      </c>
      <c r="X105">
        <v>77402.505813010896</v>
      </c>
      <c r="Y105">
        <f t="shared" si="11"/>
        <v>78160.69280611568</v>
      </c>
      <c r="Z105">
        <v>71.689448103942027</v>
      </c>
      <c r="AA105">
        <v>2.5750000000000002</v>
      </c>
      <c r="AB105">
        <v>2.5750000000000002</v>
      </c>
      <c r="AC105">
        <v>255922.8512758447</v>
      </c>
      <c r="AE105">
        <v>2.5750000000000002</v>
      </c>
      <c r="AF105">
        <v>2.5750000000000002</v>
      </c>
      <c r="AJ105">
        <v>2.5750000000000002</v>
      </c>
    </row>
    <row r="106" spans="1:37" x14ac:dyDescent="0.4">
      <c r="A106" t="s">
        <v>114</v>
      </c>
      <c r="B106">
        <v>-5.5174473299515023</v>
      </c>
      <c r="C106">
        <v>916.52342655685004</v>
      </c>
      <c r="D106" t="s">
        <v>171</v>
      </c>
      <c r="E106">
        <v>-1.4340272578706961</v>
      </c>
      <c r="F106">
        <v>908.61125669183366</v>
      </c>
      <c r="G106">
        <v>0.13873080446723229</v>
      </c>
      <c r="H106">
        <v>917.28886646353976</v>
      </c>
      <c r="I106" t="s">
        <v>276</v>
      </c>
      <c r="J106" t="s">
        <v>437</v>
      </c>
      <c r="L106">
        <v>911.44991470777893</v>
      </c>
      <c r="M106">
        <v>-1.979500879536386</v>
      </c>
      <c r="N106">
        <v>0.52500000000000002</v>
      </c>
      <c r="O106">
        <f t="shared" si="6"/>
        <v>3.5379464504151166</v>
      </c>
      <c r="P106">
        <f t="shared" si="7"/>
        <v>-0.14731614595350617</v>
      </c>
      <c r="Q106">
        <f t="shared" si="8"/>
        <v>-8.4405934172691435</v>
      </c>
      <c r="R106">
        <v>0.52500000000000002</v>
      </c>
      <c r="S106">
        <f t="shared" si="9"/>
        <v>0.98916858649832884</v>
      </c>
      <c r="T106">
        <v>123.19296429366629</v>
      </c>
      <c r="U106">
        <f t="shared" si="10"/>
        <v>124.5419294296144</v>
      </c>
      <c r="V106">
        <v>2.6</v>
      </c>
      <c r="W106">
        <v>2.6</v>
      </c>
      <c r="X106">
        <v>77824.644677589298</v>
      </c>
      <c r="Y106">
        <f t="shared" si="11"/>
        <v>78676.825912041619</v>
      </c>
      <c r="Z106">
        <v>69.408736552353375</v>
      </c>
      <c r="AA106">
        <v>2.6</v>
      </c>
      <c r="AB106">
        <v>2.6</v>
      </c>
      <c r="AC106">
        <v>251650.30117643441</v>
      </c>
      <c r="AD106">
        <v>41.875569465382107</v>
      </c>
      <c r="AE106">
        <v>2.6</v>
      </c>
      <c r="AF106">
        <v>2.6</v>
      </c>
      <c r="AG106">
        <v>409763.71940802882</v>
      </c>
      <c r="AJ106">
        <v>2.6</v>
      </c>
    </row>
    <row r="107" spans="1:37" x14ac:dyDescent="0.4">
      <c r="A107" t="s">
        <v>115</v>
      </c>
      <c r="B107">
        <v>-5.595738206132487</v>
      </c>
      <c r="C107">
        <v>916.77404963173876</v>
      </c>
      <c r="D107" t="s">
        <v>171</v>
      </c>
      <c r="E107">
        <v>-1.501270279622142</v>
      </c>
      <c r="F107">
        <v>908.37333417032596</v>
      </c>
      <c r="G107">
        <v>0.13987588143467611</v>
      </c>
      <c r="H107">
        <v>917.55675844559926</v>
      </c>
      <c r="I107" t="s">
        <v>277</v>
      </c>
      <c r="J107" t="s">
        <v>438</v>
      </c>
      <c r="L107">
        <v>911.43972291009459</v>
      </c>
      <c r="M107">
        <v>-2.0425299313878069</v>
      </c>
      <c r="N107">
        <v>0.55000000000000004</v>
      </c>
      <c r="O107">
        <f t="shared" si="6"/>
        <v>3.55320827474468</v>
      </c>
      <c r="P107">
        <f t="shared" si="7"/>
        <v>-0.15357091571806936</v>
      </c>
      <c r="Q107">
        <f t="shared" si="8"/>
        <v>-8.7989653266046499</v>
      </c>
      <c r="R107">
        <v>0.55000000000000004</v>
      </c>
      <c r="S107">
        <f t="shared" si="9"/>
        <v>0.98823114397363032</v>
      </c>
      <c r="T107">
        <v>118.06308037921541</v>
      </c>
      <c r="U107">
        <f t="shared" si="10"/>
        <v>119.46909495736938</v>
      </c>
      <c r="V107">
        <v>2.625</v>
      </c>
      <c r="W107">
        <v>2.625</v>
      </c>
      <c r="X107">
        <v>76179.267785286531</v>
      </c>
      <c r="Y107">
        <f t="shared" si="11"/>
        <v>77086.487558946304</v>
      </c>
      <c r="Z107">
        <v>67.930787488828656</v>
      </c>
      <c r="AA107">
        <v>2.625</v>
      </c>
      <c r="AB107">
        <v>2.625</v>
      </c>
      <c r="AC107">
        <v>245011.75983603881</v>
      </c>
      <c r="AD107">
        <v>39.022014202265503</v>
      </c>
      <c r="AE107">
        <v>2.625</v>
      </c>
      <c r="AF107">
        <v>2.625</v>
      </c>
      <c r="AG107">
        <v>370931.76882695552</v>
      </c>
      <c r="AH107">
        <v>28.769690102590449</v>
      </c>
      <c r="AI107">
        <v>2.625</v>
      </c>
      <c r="AJ107">
        <v>2.625</v>
      </c>
      <c r="AK107">
        <v>545096.53294845531</v>
      </c>
    </row>
    <row r="108" spans="1:37" x14ac:dyDescent="0.4">
      <c r="A108" t="s">
        <v>116</v>
      </c>
      <c r="B108">
        <v>-5.6663423930390797</v>
      </c>
      <c r="C108">
        <v>917.03194954356104</v>
      </c>
      <c r="D108" t="s">
        <v>171</v>
      </c>
      <c r="E108">
        <v>-1.5659203969120139</v>
      </c>
      <c r="F108">
        <v>908.15890841441387</v>
      </c>
      <c r="G108">
        <v>0.14072834399072121</v>
      </c>
      <c r="H108">
        <v>917.82936452501781</v>
      </c>
      <c r="I108" t="s">
        <v>278</v>
      </c>
      <c r="J108" t="s">
        <v>439</v>
      </c>
      <c r="L108">
        <v>911.43201272478905</v>
      </c>
      <c r="M108">
        <v>-2.090211967909601</v>
      </c>
      <c r="N108">
        <v>0.57499999999999996</v>
      </c>
      <c r="O108">
        <f t="shared" si="6"/>
        <v>3.5761304251294788</v>
      </c>
      <c r="P108">
        <f t="shared" si="7"/>
        <v>-0.15942380940187539</v>
      </c>
      <c r="Q108">
        <f t="shared" si="8"/>
        <v>-9.1343114326255144</v>
      </c>
      <c r="R108">
        <v>0.57499999999999996</v>
      </c>
      <c r="S108">
        <f t="shared" si="9"/>
        <v>0.98731891714575348</v>
      </c>
      <c r="T108">
        <v>113.1356362250946</v>
      </c>
      <c r="U108">
        <f t="shared" si="10"/>
        <v>114.58874560224079</v>
      </c>
      <c r="V108">
        <v>2.65</v>
      </c>
      <c r="W108">
        <v>2.65</v>
      </c>
      <c r="X108">
        <v>73684.128128707845</v>
      </c>
      <c r="Y108">
        <f t="shared" si="11"/>
        <v>74630.52398684081</v>
      </c>
      <c r="Z108">
        <v>66.487872299819159</v>
      </c>
      <c r="AA108">
        <v>2.65</v>
      </c>
      <c r="AB108">
        <v>2.65</v>
      </c>
      <c r="AC108">
        <v>231327.6267179852</v>
      </c>
      <c r="AD108">
        <v>37.352134729918937</v>
      </c>
      <c r="AE108">
        <v>2.65</v>
      </c>
      <c r="AF108">
        <v>2.65</v>
      </c>
      <c r="AG108">
        <v>334984.26091097569</v>
      </c>
      <c r="AH108">
        <v>27.611908833427339</v>
      </c>
      <c r="AI108">
        <v>2.65</v>
      </c>
      <c r="AJ108">
        <v>2.65</v>
      </c>
      <c r="AK108">
        <v>510916.57849503221</v>
      </c>
    </row>
    <row r="109" spans="1:37" x14ac:dyDescent="0.4">
      <c r="A109" t="s">
        <v>117</v>
      </c>
      <c r="B109">
        <v>-5.5636174826597857</v>
      </c>
      <c r="C109">
        <v>917.31315845872302</v>
      </c>
      <c r="D109" t="s">
        <v>171</v>
      </c>
      <c r="E109">
        <v>-1.660229526111423</v>
      </c>
      <c r="F109">
        <v>908.07627644202159</v>
      </c>
      <c r="G109">
        <v>0.14036610952807549</v>
      </c>
      <c r="H109">
        <v>918.09410179966642</v>
      </c>
      <c r="I109" t="s">
        <v>279</v>
      </c>
      <c r="J109" t="s">
        <v>440</v>
      </c>
      <c r="L109">
        <v>911.44217446839343</v>
      </c>
      <c r="M109">
        <v>-2.027368779261538</v>
      </c>
      <c r="N109">
        <v>0.6</v>
      </c>
      <c r="O109">
        <f t="shared" si="6"/>
        <v>3.5362487033982477</v>
      </c>
      <c r="P109">
        <f t="shared" si="7"/>
        <v>-0.16807069588115797</v>
      </c>
      <c r="Q109">
        <f t="shared" si="8"/>
        <v>-9.6297415338171408</v>
      </c>
      <c r="R109">
        <v>0.6</v>
      </c>
      <c r="S109">
        <f t="shared" si="9"/>
        <v>0.98590933663163149</v>
      </c>
      <c r="T109">
        <v>106.88324062791639</v>
      </c>
      <c r="U109">
        <f t="shared" si="10"/>
        <v>108.41082101228901</v>
      </c>
      <c r="V109">
        <v>2.6749999999999998</v>
      </c>
      <c r="W109">
        <v>2.6749999999999998</v>
      </c>
      <c r="X109">
        <v>68021.629055516998</v>
      </c>
      <c r="Y109">
        <f t="shared" si="11"/>
        <v>68993.797429602942</v>
      </c>
      <c r="AB109">
        <v>2.6749999999999998</v>
      </c>
      <c r="AD109">
        <v>36.908115681935577</v>
      </c>
      <c r="AE109">
        <v>2.6749999999999998</v>
      </c>
      <c r="AF109">
        <v>2.6749999999999998</v>
      </c>
      <c r="AG109">
        <v>330121.95121184282</v>
      </c>
      <c r="AH109">
        <v>26.71965579792862</v>
      </c>
      <c r="AI109">
        <v>2.6749999999999998</v>
      </c>
      <c r="AJ109">
        <v>2.6749999999999998</v>
      </c>
      <c r="AK109">
        <v>490531.58504170261</v>
      </c>
    </row>
    <row r="110" spans="1:37" x14ac:dyDescent="0.4">
      <c r="A110" t="s">
        <v>118</v>
      </c>
      <c r="B110">
        <v>-5.6266164116109003</v>
      </c>
      <c r="C110">
        <v>917.60217239043743</v>
      </c>
      <c r="D110" t="s">
        <v>171</v>
      </c>
      <c r="E110">
        <v>-1.7335054448501259</v>
      </c>
      <c r="F110">
        <v>907.84840220482681</v>
      </c>
      <c r="G110">
        <v>0.1428506986937936</v>
      </c>
      <c r="H110">
        <v>918.40593847611797</v>
      </c>
      <c r="I110" t="s">
        <v>280</v>
      </c>
      <c r="J110" t="s">
        <v>441</v>
      </c>
      <c r="L110">
        <v>911.43540696304615</v>
      </c>
      <c r="M110">
        <v>-2.069221007753788</v>
      </c>
      <c r="N110">
        <v>0.625</v>
      </c>
      <c r="O110">
        <f t="shared" si="6"/>
        <v>3.5573954038571123</v>
      </c>
      <c r="P110">
        <f t="shared" si="7"/>
        <v>-0.1739154122197113</v>
      </c>
      <c r="Q110">
        <f t="shared" si="8"/>
        <v>-9.9646191124674015</v>
      </c>
      <c r="R110">
        <v>0.625</v>
      </c>
      <c r="S110">
        <f t="shared" si="9"/>
        <v>0.98491479524444459</v>
      </c>
      <c r="T110">
        <v>107.68126088197231</v>
      </c>
      <c r="U110">
        <f t="shared" si="10"/>
        <v>109.33053437911556</v>
      </c>
      <c r="V110">
        <v>2.7</v>
      </c>
      <c r="W110">
        <v>2.7</v>
      </c>
      <c r="X110">
        <v>68556.733058403886</v>
      </c>
      <c r="Y110">
        <f t="shared" si="11"/>
        <v>69606.765366326828</v>
      </c>
      <c r="Z110">
        <v>63.453117735451677</v>
      </c>
      <c r="AA110">
        <v>2.7</v>
      </c>
      <c r="AB110">
        <v>2.7</v>
      </c>
      <c r="AC110">
        <v>214786.4180690583</v>
      </c>
      <c r="AD110">
        <v>35.725689200349919</v>
      </c>
      <c r="AE110">
        <v>2.7</v>
      </c>
      <c r="AF110">
        <v>2.7</v>
      </c>
      <c r="AG110">
        <v>292231.99370823283</v>
      </c>
      <c r="AH110">
        <v>25.20295711279233</v>
      </c>
      <c r="AI110">
        <v>2.7</v>
      </c>
      <c r="AJ110">
        <v>2.7</v>
      </c>
      <c r="AK110">
        <v>444307.10655588098</v>
      </c>
    </row>
    <row r="111" spans="1:37" x14ac:dyDescent="0.4">
      <c r="A111" t="s">
        <v>119</v>
      </c>
      <c r="B111">
        <v>-5.4563609527334229</v>
      </c>
      <c r="C111">
        <v>917.92556169671855</v>
      </c>
      <c r="D111" t="s">
        <v>171</v>
      </c>
      <c r="E111">
        <v>-1.835973027557706</v>
      </c>
      <c r="F111">
        <v>907.90783015888087</v>
      </c>
      <c r="G111">
        <v>0.14321216800083431</v>
      </c>
      <c r="H111">
        <v>918.70697897815455</v>
      </c>
      <c r="I111" t="s">
        <v>281</v>
      </c>
      <c r="J111" t="s">
        <v>442</v>
      </c>
      <c r="L111">
        <v>911.45737982192281</v>
      </c>
      <c r="M111">
        <v>-1.9333344346146699</v>
      </c>
      <c r="N111">
        <v>0.65</v>
      </c>
      <c r="O111">
        <f t="shared" si="6"/>
        <v>3.523026518118753</v>
      </c>
      <c r="P111">
        <f t="shared" si="7"/>
        <v>-0.1824487104727317</v>
      </c>
      <c r="Q111">
        <f t="shared" si="8"/>
        <v>-10.45354108769183</v>
      </c>
      <c r="R111">
        <v>0.65</v>
      </c>
      <c r="S111">
        <f t="shared" si="9"/>
        <v>0.98340235198292891</v>
      </c>
      <c r="T111">
        <v>107.7087087514582</v>
      </c>
      <c r="U111">
        <f t="shared" si="10"/>
        <v>109.52659258367113</v>
      </c>
      <c r="V111">
        <v>2.7250000000000001</v>
      </c>
      <c r="W111">
        <v>2.7250000000000001</v>
      </c>
      <c r="X111">
        <v>67161.91793559627</v>
      </c>
      <c r="Y111">
        <f t="shared" si="11"/>
        <v>68295.461974614183</v>
      </c>
      <c r="Z111">
        <v>61.022487264331041</v>
      </c>
      <c r="AA111">
        <v>2.7250000000000001</v>
      </c>
      <c r="AB111">
        <v>2.7250000000000001</v>
      </c>
      <c r="AC111">
        <v>207312.3909257621</v>
      </c>
      <c r="AF111">
        <v>2.7250000000000001</v>
      </c>
      <c r="AJ111">
        <v>2.7250000000000001</v>
      </c>
    </row>
    <row r="112" spans="1:37" x14ac:dyDescent="0.4">
      <c r="A112" t="s">
        <v>120</v>
      </c>
      <c r="B112">
        <v>-5.720976448853917</v>
      </c>
      <c r="C112">
        <v>918.20034577045715</v>
      </c>
      <c r="D112" t="s">
        <v>171</v>
      </c>
      <c r="E112">
        <v>-1.8776592572247419</v>
      </c>
      <c r="F112">
        <v>907.45830138090184</v>
      </c>
      <c r="G112">
        <v>0.14169254631403819</v>
      </c>
      <c r="H112">
        <v>919.01096549089789</v>
      </c>
      <c r="I112" t="s">
        <v>282</v>
      </c>
      <c r="J112" t="s">
        <v>443</v>
      </c>
      <c r="L112">
        <v>911.42812702506035</v>
      </c>
      <c r="M112">
        <v>-2.1142422692620459</v>
      </c>
      <c r="N112">
        <v>0.67500000000000004</v>
      </c>
      <c r="O112">
        <f t="shared" si="6"/>
        <v>3.606734179591871</v>
      </c>
      <c r="P112">
        <f t="shared" si="7"/>
        <v>-0.1850097345433217</v>
      </c>
      <c r="Q112">
        <f t="shared" si="8"/>
        <v>-10.600276958168051</v>
      </c>
      <c r="R112">
        <v>0.67500000000000004</v>
      </c>
      <c r="S112">
        <f t="shared" si="9"/>
        <v>0.98293445994815987</v>
      </c>
      <c r="T112">
        <v>101.804280591522</v>
      </c>
      <c r="U112">
        <f t="shared" si="10"/>
        <v>103.57178910676423</v>
      </c>
      <c r="V112">
        <v>2.75</v>
      </c>
      <c r="W112">
        <v>2.75</v>
      </c>
      <c r="X112">
        <v>64557.143983680893</v>
      </c>
      <c r="Y112">
        <f t="shared" si="11"/>
        <v>65677.974080881904</v>
      </c>
      <c r="Z112">
        <v>57.22463312051859</v>
      </c>
      <c r="AA112">
        <v>2.7749999999999999</v>
      </c>
      <c r="AB112">
        <v>2.75</v>
      </c>
      <c r="AC112">
        <v>188489.10488368021</v>
      </c>
      <c r="AD112">
        <v>33.107610489451048</v>
      </c>
      <c r="AE112">
        <v>2.75</v>
      </c>
      <c r="AF112">
        <v>2.75</v>
      </c>
      <c r="AG112">
        <v>262566.60404723691</v>
      </c>
      <c r="AH112">
        <v>23.928572134713129</v>
      </c>
      <c r="AI112">
        <v>2.75</v>
      </c>
      <c r="AJ112">
        <v>2.75</v>
      </c>
      <c r="AK112">
        <v>403095.92725415883</v>
      </c>
    </row>
    <row r="113" spans="1:37" x14ac:dyDescent="0.4">
      <c r="A113" t="s">
        <v>121</v>
      </c>
      <c r="B113">
        <v>-5.6749444367692936</v>
      </c>
      <c r="C113">
        <v>918.52170058111756</v>
      </c>
      <c r="D113" t="s">
        <v>171</v>
      </c>
      <c r="E113">
        <v>-1.971471137725739</v>
      </c>
      <c r="F113">
        <v>907.33371141582961</v>
      </c>
      <c r="G113">
        <v>0.13808958085322481</v>
      </c>
      <c r="H113">
        <v>919.30535127975634</v>
      </c>
      <c r="I113" t="s">
        <v>283</v>
      </c>
      <c r="J113" t="s">
        <v>444</v>
      </c>
      <c r="L113">
        <v>911.43371756821182</v>
      </c>
      <c r="M113">
        <v>-2.0796687185415461</v>
      </c>
      <c r="N113">
        <v>0.7</v>
      </c>
      <c r="O113">
        <f t="shared" si="6"/>
        <v>3.5952757182277475</v>
      </c>
      <c r="P113">
        <f t="shared" si="7"/>
        <v>-0.19229420193507041</v>
      </c>
      <c r="Q113">
        <f t="shared" si="8"/>
        <v>-11.017646195715921</v>
      </c>
      <c r="R113">
        <v>0.7</v>
      </c>
      <c r="S113">
        <f t="shared" si="9"/>
        <v>0.98156837073403647</v>
      </c>
      <c r="T113">
        <v>94.868480803130012</v>
      </c>
      <c r="U113">
        <f t="shared" si="10"/>
        <v>96.649895852069335</v>
      </c>
      <c r="V113">
        <v>2.7749999999999999</v>
      </c>
      <c r="W113">
        <v>2.7749999999999999</v>
      </c>
      <c r="X113">
        <v>63202.752178665658</v>
      </c>
      <c r="Y113">
        <f t="shared" si="11"/>
        <v>64389.556614789224</v>
      </c>
      <c r="AB113">
        <v>2.7749999999999999</v>
      </c>
      <c r="AD113">
        <v>32.376773300448093</v>
      </c>
      <c r="AE113">
        <v>2.7749999999999999</v>
      </c>
      <c r="AF113">
        <v>2.7749999999999999</v>
      </c>
      <c r="AG113">
        <v>258330.69539382769</v>
      </c>
      <c r="AJ113">
        <v>2.7749999999999999</v>
      </c>
    </row>
    <row r="114" spans="1:37" x14ac:dyDescent="0.4">
      <c r="A114" t="s">
        <v>122</v>
      </c>
      <c r="B114">
        <v>-5.6240622208436806</v>
      </c>
      <c r="C114">
        <v>918.73847591575213</v>
      </c>
      <c r="D114" t="s">
        <v>171</v>
      </c>
      <c r="E114">
        <v>-2.0554563256441511</v>
      </c>
      <c r="F114">
        <v>907.17846164810271</v>
      </c>
      <c r="G114">
        <v>0.14189594318199741</v>
      </c>
      <c r="H114">
        <v>919.536507529093</v>
      </c>
      <c r="I114" t="s">
        <v>284</v>
      </c>
      <c r="J114" t="s">
        <v>445</v>
      </c>
      <c r="L114">
        <v>911.43513330834639</v>
      </c>
      <c r="M114">
        <v>-2.0709133682970502</v>
      </c>
      <c r="N114">
        <v>0.72499999999999998</v>
      </c>
      <c r="O114">
        <f t="shared" si="6"/>
        <v>3.5531488525466304</v>
      </c>
      <c r="P114">
        <f t="shared" si="7"/>
        <v>-0.20128133020072214</v>
      </c>
      <c r="Q114">
        <f t="shared" si="8"/>
        <v>-11.532570715280494</v>
      </c>
      <c r="R114">
        <v>0.72499999999999998</v>
      </c>
      <c r="S114">
        <f t="shared" si="9"/>
        <v>0.97981121235737867</v>
      </c>
      <c r="U114">
        <f t="shared" si="10"/>
        <v>0</v>
      </c>
      <c r="W114">
        <v>2.8</v>
      </c>
      <c r="Y114">
        <f t="shared" si="11"/>
        <v>0</v>
      </c>
      <c r="Z114">
        <v>57.63609883649363</v>
      </c>
      <c r="AA114">
        <v>2.8</v>
      </c>
      <c r="AB114">
        <v>2.8</v>
      </c>
      <c r="AC114">
        <v>197484.51128757931</v>
      </c>
      <c r="AD114">
        <v>31.037715748268059</v>
      </c>
      <c r="AE114">
        <v>2.8</v>
      </c>
      <c r="AF114">
        <v>2.8</v>
      </c>
      <c r="AG114">
        <v>246648.81403992089</v>
      </c>
      <c r="AH114">
        <v>22.821734183445521</v>
      </c>
      <c r="AI114">
        <v>2.8</v>
      </c>
      <c r="AJ114">
        <v>2.8</v>
      </c>
      <c r="AK114">
        <v>357734.90589168662</v>
      </c>
    </row>
    <row r="115" spans="1:37" x14ac:dyDescent="0.4">
      <c r="A115" t="s">
        <v>123</v>
      </c>
      <c r="B115">
        <v>-5.675885276886536</v>
      </c>
      <c r="C115">
        <v>918.97734039446391</v>
      </c>
      <c r="D115" t="s">
        <v>171</v>
      </c>
      <c r="E115">
        <v>-2.120857426498834</v>
      </c>
      <c r="F115">
        <v>906.93959695302374</v>
      </c>
      <c r="G115">
        <v>0.14289160924326119</v>
      </c>
      <c r="H115">
        <v>919.78837677555839</v>
      </c>
      <c r="I115" t="s">
        <v>285</v>
      </c>
      <c r="J115" t="s">
        <v>446</v>
      </c>
      <c r="L115">
        <v>911.42780650161194</v>
      </c>
      <c r="M115">
        <v>-2.1162244798267609</v>
      </c>
      <c r="N115">
        <v>0.75</v>
      </c>
      <c r="O115">
        <f t="shared" si="6"/>
        <v>3.5596607970597751</v>
      </c>
      <c r="P115">
        <f t="shared" si="7"/>
        <v>-0.20765701137148196</v>
      </c>
      <c r="Q115">
        <f t="shared" si="8"/>
        <v>-11.897870337886058</v>
      </c>
      <c r="R115">
        <v>0.75</v>
      </c>
      <c r="S115">
        <f t="shared" si="9"/>
        <v>0.97851664895618873</v>
      </c>
      <c r="T115">
        <v>89.973454049818898</v>
      </c>
      <c r="U115">
        <f t="shared" si="10"/>
        <v>91.948822890030655</v>
      </c>
      <c r="V115">
        <v>2.8250000000000002</v>
      </c>
      <c r="W115">
        <v>2.8250000000000002</v>
      </c>
      <c r="X115">
        <v>59842.431282898469</v>
      </c>
      <c r="Y115">
        <f t="shared" si="11"/>
        <v>61156.272963504583</v>
      </c>
      <c r="AB115">
        <v>2.8250000000000002</v>
      </c>
      <c r="AD115">
        <v>30.52965454311234</v>
      </c>
      <c r="AE115">
        <v>2.8250000000000002</v>
      </c>
      <c r="AF115">
        <v>2.8250000000000002</v>
      </c>
      <c r="AG115">
        <v>233317.58112288191</v>
      </c>
      <c r="AH115">
        <v>22.246497483400631</v>
      </c>
      <c r="AI115">
        <v>2.8250000000000002</v>
      </c>
      <c r="AJ115">
        <v>2.8250000000000002</v>
      </c>
      <c r="AK115">
        <v>334108.96828749182</v>
      </c>
    </row>
    <row r="116" spans="1:37" x14ac:dyDescent="0.4">
      <c r="A116" t="s">
        <v>124</v>
      </c>
      <c r="B116">
        <v>-5.6868326869687698</v>
      </c>
      <c r="C116">
        <v>919.20174692834712</v>
      </c>
      <c r="D116" t="s">
        <v>171</v>
      </c>
      <c r="E116">
        <v>-2.183303446906419</v>
      </c>
      <c r="F116">
        <v>906.78566552090808</v>
      </c>
      <c r="G116">
        <v>0.14507893470027861</v>
      </c>
      <c r="H116">
        <v>920.02678655639124</v>
      </c>
      <c r="I116" t="s">
        <v>286</v>
      </c>
      <c r="J116" t="s">
        <v>447</v>
      </c>
      <c r="L116">
        <v>911.42630457282996</v>
      </c>
      <c r="M116">
        <v>-2.1255128458257788</v>
      </c>
      <c r="N116">
        <v>0.77500000000000002</v>
      </c>
      <c r="O116">
        <f t="shared" si="6"/>
        <v>3.5613198411429909</v>
      </c>
      <c r="P116">
        <f t="shared" si="7"/>
        <v>-0.2142751816411923</v>
      </c>
      <c r="Q116">
        <f t="shared" si="8"/>
        <v>-12.27706356243942</v>
      </c>
      <c r="R116">
        <v>0.77500000000000002</v>
      </c>
      <c r="S116">
        <f t="shared" si="9"/>
        <v>0.97713077569320339</v>
      </c>
      <c r="U116">
        <f t="shared" si="10"/>
        <v>0</v>
      </c>
      <c r="W116">
        <v>2.85</v>
      </c>
      <c r="Y116">
        <f t="shared" si="11"/>
        <v>0</v>
      </c>
      <c r="Z116">
        <v>54.009461344951077</v>
      </c>
      <c r="AA116">
        <v>2.85</v>
      </c>
      <c r="AB116">
        <v>2.85</v>
      </c>
      <c r="AC116">
        <v>180529.0106464765</v>
      </c>
      <c r="AF116">
        <v>2.85</v>
      </c>
      <c r="AJ116">
        <v>2.85</v>
      </c>
    </row>
    <row r="117" spans="1:37" x14ac:dyDescent="0.4">
      <c r="A117" t="s">
        <v>125</v>
      </c>
      <c r="B117">
        <v>-5.6776983962576129</v>
      </c>
      <c r="C117">
        <v>919.49560104740101</v>
      </c>
      <c r="D117" t="s">
        <v>171</v>
      </c>
      <c r="E117">
        <v>-2.2744547191275202</v>
      </c>
      <c r="F117">
        <v>906.58193313625009</v>
      </c>
      <c r="G117">
        <v>0.14157018543457739</v>
      </c>
      <c r="H117">
        <v>920.29939386220076</v>
      </c>
      <c r="I117" t="s">
        <v>287</v>
      </c>
      <c r="J117" t="s">
        <v>448</v>
      </c>
      <c r="L117">
        <v>911.4256416016633</v>
      </c>
      <c r="M117">
        <v>-2.129612853040932</v>
      </c>
      <c r="N117">
        <v>0.8</v>
      </c>
      <c r="O117">
        <f t="shared" si="6"/>
        <v>3.5480855432166809</v>
      </c>
      <c r="P117">
        <f t="shared" si="7"/>
        <v>-0.2217652776740977</v>
      </c>
      <c r="Q117">
        <f t="shared" si="8"/>
        <v>-12.70621445327258</v>
      </c>
      <c r="R117">
        <v>0.8</v>
      </c>
      <c r="S117">
        <f t="shared" si="9"/>
        <v>0.97551069310124228</v>
      </c>
      <c r="T117">
        <v>90.481448724387548</v>
      </c>
      <c r="U117">
        <f t="shared" si="10"/>
        <v>92.75290303250118</v>
      </c>
      <c r="V117">
        <v>2.875</v>
      </c>
      <c r="W117">
        <v>2.875</v>
      </c>
      <c r="X117">
        <v>57645.984520331847</v>
      </c>
      <c r="Y117">
        <f t="shared" si="11"/>
        <v>59093.134424872085</v>
      </c>
      <c r="Z117">
        <v>51.450432041546946</v>
      </c>
      <c r="AA117">
        <v>2.875</v>
      </c>
      <c r="AB117">
        <v>2.875</v>
      </c>
      <c r="AC117">
        <v>167948.98303323871</v>
      </c>
      <c r="AD117">
        <v>29.723729933474679</v>
      </c>
      <c r="AE117">
        <v>2.875</v>
      </c>
      <c r="AF117">
        <v>2.875</v>
      </c>
      <c r="AG117">
        <v>235893.0436333071</v>
      </c>
      <c r="AJ117">
        <v>2.875</v>
      </c>
    </row>
    <row r="118" spans="1:37" x14ac:dyDescent="0.4">
      <c r="A118" t="s">
        <v>126</v>
      </c>
      <c r="B118">
        <v>-5.7311718557609526</v>
      </c>
      <c r="C118">
        <v>919.71372594920899</v>
      </c>
      <c r="D118" t="s">
        <v>171</v>
      </c>
      <c r="E118">
        <v>-2.3384874395114408</v>
      </c>
      <c r="F118">
        <v>906.3114525508305</v>
      </c>
      <c r="G118">
        <v>0.1422789730130658</v>
      </c>
      <c r="H118">
        <v>920.52915119500801</v>
      </c>
      <c r="I118" t="s">
        <v>288</v>
      </c>
      <c r="J118" t="s">
        <v>449</v>
      </c>
      <c r="L118">
        <v>911.41696758686453</v>
      </c>
      <c r="M118">
        <v>-2.1832554924891432</v>
      </c>
      <c r="N118">
        <v>0.82499999999999996</v>
      </c>
      <c r="O118">
        <f t="shared" si="6"/>
        <v>3.5479163632718094</v>
      </c>
      <c r="P118">
        <f t="shared" si="7"/>
        <v>-0.2284707477287331</v>
      </c>
      <c r="Q118">
        <f t="shared" si="8"/>
        <v>-13.090409587054545</v>
      </c>
      <c r="R118">
        <v>0.82499999999999996</v>
      </c>
      <c r="S118">
        <f t="shared" si="9"/>
        <v>0.97401389150116813</v>
      </c>
      <c r="T118">
        <v>88.051392931691893</v>
      </c>
      <c r="U118">
        <f t="shared" si="10"/>
        <v>90.400551470560103</v>
      </c>
      <c r="V118">
        <v>2.9</v>
      </c>
      <c r="W118">
        <v>2.9</v>
      </c>
      <c r="X118">
        <v>58057.408943634422</v>
      </c>
      <c r="Y118">
        <f t="shared" si="11"/>
        <v>59606.345915821876</v>
      </c>
      <c r="Z118">
        <v>48.853132366859057</v>
      </c>
      <c r="AA118">
        <v>2.9</v>
      </c>
      <c r="AB118">
        <v>2.9</v>
      </c>
      <c r="AC118">
        <v>155363.27955994051</v>
      </c>
      <c r="AD118">
        <v>30.2521036253899</v>
      </c>
      <c r="AE118">
        <v>2.9</v>
      </c>
      <c r="AF118">
        <v>2.9</v>
      </c>
      <c r="AG118">
        <v>249239.3003705095</v>
      </c>
      <c r="AH118">
        <v>19.762993899632239</v>
      </c>
      <c r="AI118">
        <v>2.9</v>
      </c>
      <c r="AJ118">
        <v>2.9</v>
      </c>
      <c r="AK118">
        <v>254427.52319148969</v>
      </c>
    </row>
    <row r="119" spans="1:37" x14ac:dyDescent="0.4">
      <c r="A119" t="s">
        <v>127</v>
      </c>
      <c r="B119">
        <v>-5.5017895342075027</v>
      </c>
      <c r="C119">
        <v>920.00819002426579</v>
      </c>
      <c r="D119" t="s">
        <v>171</v>
      </c>
      <c r="E119">
        <v>-2.4774609263071201</v>
      </c>
      <c r="F119">
        <v>906.37772142850122</v>
      </c>
      <c r="G119">
        <v>0.14098472860018449</v>
      </c>
      <c r="H119">
        <v>920.78385832856134</v>
      </c>
      <c r="I119" t="s">
        <v>289</v>
      </c>
      <c r="J119" t="s">
        <v>450</v>
      </c>
      <c r="L119">
        <v>911.43961791482218</v>
      </c>
      <c r="M119">
        <v>-2.043179252800428</v>
      </c>
      <c r="N119">
        <v>0.85</v>
      </c>
      <c r="O119">
        <f t="shared" si="6"/>
        <v>3.4586102814070747</v>
      </c>
      <c r="P119">
        <f t="shared" si="7"/>
        <v>-0.24098736582955071</v>
      </c>
      <c r="Q119">
        <f t="shared" si="8"/>
        <v>-13.807558978008446</v>
      </c>
      <c r="R119">
        <v>0.85</v>
      </c>
      <c r="S119">
        <f t="shared" si="9"/>
        <v>0.97110280196481236</v>
      </c>
      <c r="T119">
        <v>80.089730852388939</v>
      </c>
      <c r="U119">
        <f t="shared" si="10"/>
        <v>82.472968557340209</v>
      </c>
      <c r="V119">
        <v>2.9249999999999998</v>
      </c>
      <c r="W119">
        <v>2.9249999999999998</v>
      </c>
      <c r="X119">
        <v>51620.818120775133</v>
      </c>
      <c r="Y119">
        <f t="shared" si="11"/>
        <v>53156.90369375085</v>
      </c>
      <c r="Z119">
        <v>46.929847237016908</v>
      </c>
      <c r="AA119">
        <v>2.9249999999999998</v>
      </c>
      <c r="AB119">
        <v>2.9249999999999998</v>
      </c>
      <c r="AC119">
        <v>141412.48560560471</v>
      </c>
      <c r="AD119">
        <v>27.995019718903141</v>
      </c>
      <c r="AE119">
        <v>2.9249999999999998</v>
      </c>
      <c r="AF119">
        <v>2.9249999999999998</v>
      </c>
      <c r="AG119">
        <v>219474.39257675529</v>
      </c>
      <c r="AH119">
        <v>19.911503327288891</v>
      </c>
      <c r="AI119">
        <v>2.9249999999999998</v>
      </c>
      <c r="AJ119">
        <v>2.9249999999999998</v>
      </c>
      <c r="AK119">
        <v>280819.02788224688</v>
      </c>
    </row>
    <row r="120" spans="1:37" x14ac:dyDescent="0.4">
      <c r="A120" t="s">
        <v>128</v>
      </c>
      <c r="B120">
        <v>-5.5500906627432549</v>
      </c>
      <c r="C120">
        <v>920.2388059693626</v>
      </c>
      <c r="D120" t="s">
        <v>171</v>
      </c>
      <c r="E120">
        <v>-2.5615066448948332</v>
      </c>
      <c r="F120">
        <v>906.02221185697704</v>
      </c>
      <c r="G120">
        <v>0.1415914913038909</v>
      </c>
      <c r="H120">
        <v>921.02465158317227</v>
      </c>
      <c r="I120" t="s">
        <v>290</v>
      </c>
      <c r="J120" t="s">
        <v>451</v>
      </c>
      <c r="L120">
        <v>911.42870485805884</v>
      </c>
      <c r="M120">
        <v>-2.110668781330252</v>
      </c>
      <c r="N120">
        <v>0.875</v>
      </c>
      <c r="O120">
        <f t="shared" si="6"/>
        <v>3.4394218814130029</v>
      </c>
      <c r="P120">
        <f t="shared" si="7"/>
        <v>-0.24911855693675045</v>
      </c>
      <c r="Q120">
        <f t="shared" si="8"/>
        <v>-14.2734419108653</v>
      </c>
      <c r="R120">
        <v>0.875</v>
      </c>
      <c r="S120">
        <f t="shared" si="9"/>
        <v>0.96913011779182001</v>
      </c>
      <c r="T120">
        <v>77.910749575436142</v>
      </c>
      <c r="U120">
        <f t="shared" si="10"/>
        <v>80.392455197819203</v>
      </c>
      <c r="V120">
        <v>2.95</v>
      </c>
      <c r="W120">
        <v>2.95</v>
      </c>
      <c r="X120">
        <v>51474.951430756257</v>
      </c>
      <c r="Y120">
        <f t="shared" si="11"/>
        <v>53114.592649378021</v>
      </c>
      <c r="Z120">
        <v>44.691772534838087</v>
      </c>
      <c r="AA120">
        <v>2.95</v>
      </c>
      <c r="AB120">
        <v>2.95</v>
      </c>
      <c r="AC120">
        <v>129708.3679133461</v>
      </c>
      <c r="AD120">
        <v>28.0788651976276</v>
      </c>
      <c r="AE120">
        <v>2.95</v>
      </c>
      <c r="AF120">
        <v>2.95</v>
      </c>
      <c r="AG120">
        <v>240271.51593860591</v>
      </c>
      <c r="AH120">
        <v>19.127505305408231</v>
      </c>
      <c r="AI120">
        <v>2.95</v>
      </c>
      <c r="AJ120">
        <v>2.95</v>
      </c>
      <c r="AK120">
        <v>245457.3991164311</v>
      </c>
    </row>
    <row r="121" spans="1:37" x14ac:dyDescent="0.4">
      <c r="A121" t="s">
        <v>129</v>
      </c>
      <c r="B121">
        <v>-5.5735102203075648</v>
      </c>
      <c r="C121">
        <v>920.39649706789612</v>
      </c>
      <c r="D121" t="s">
        <v>171</v>
      </c>
      <c r="E121">
        <v>-2.6190567635135982</v>
      </c>
      <c r="F121">
        <v>905.79915742888738</v>
      </c>
      <c r="G121">
        <v>0.1480094219053377</v>
      </c>
      <c r="H121">
        <v>921.22142909358729</v>
      </c>
      <c r="I121" t="s">
        <v>291</v>
      </c>
      <c r="J121" t="s">
        <v>452</v>
      </c>
      <c r="L121">
        <v>911.42279766872832</v>
      </c>
      <c r="M121">
        <v>-2.1472005644505949</v>
      </c>
      <c r="N121">
        <v>0.9</v>
      </c>
      <c r="O121">
        <f t="shared" si="6"/>
        <v>3.4263096558569699</v>
      </c>
      <c r="P121">
        <f t="shared" si="7"/>
        <v>-0.25687043436837431</v>
      </c>
      <c r="Q121">
        <f t="shared" si="8"/>
        <v>-14.717591771000057</v>
      </c>
      <c r="R121">
        <v>0.9</v>
      </c>
      <c r="S121">
        <f t="shared" si="9"/>
        <v>0.96718979478561684</v>
      </c>
      <c r="T121">
        <v>75.429967552280857</v>
      </c>
      <c r="U121">
        <f t="shared" si="10"/>
        <v>77.988795951884853</v>
      </c>
      <c r="V121">
        <v>2.9750000000000001</v>
      </c>
      <c r="W121">
        <v>2.9750000000000001</v>
      </c>
      <c r="X121">
        <v>49031.143823603139</v>
      </c>
      <c r="Y121">
        <f t="shared" si="11"/>
        <v>50694.438762633108</v>
      </c>
      <c r="Z121">
        <v>43.622755392636321</v>
      </c>
      <c r="AA121">
        <v>2.9750000000000001</v>
      </c>
      <c r="AB121">
        <v>2.9750000000000001</v>
      </c>
      <c r="AC121">
        <v>125670.24405870341</v>
      </c>
      <c r="AD121">
        <v>26.734371881108839</v>
      </c>
      <c r="AE121">
        <v>2.9750000000000001</v>
      </c>
      <c r="AF121">
        <v>2.9750000000000001</v>
      </c>
      <c r="AG121">
        <v>208518.8840065441</v>
      </c>
      <c r="AI121">
        <v>2.9750000000000001</v>
      </c>
      <c r="AJ121">
        <v>2.9750000000000001</v>
      </c>
    </row>
    <row r="122" spans="1:37" x14ac:dyDescent="0.4">
      <c r="A122" t="s">
        <v>130</v>
      </c>
      <c r="B122">
        <v>-5.4503024900821533</v>
      </c>
      <c r="C122">
        <v>920.66093461235562</v>
      </c>
      <c r="D122" t="s">
        <v>171</v>
      </c>
      <c r="E122">
        <v>-2.7420258364654839</v>
      </c>
      <c r="F122">
        <v>905.71606436799823</v>
      </c>
      <c r="G122">
        <v>0.1464913323871293</v>
      </c>
      <c r="H122">
        <v>921.45935668604068</v>
      </c>
      <c r="I122" t="s">
        <v>292</v>
      </c>
      <c r="J122" t="s">
        <v>453</v>
      </c>
      <c r="L122">
        <v>911.43287402764588</v>
      </c>
      <c r="M122">
        <v>-2.084885419629821</v>
      </c>
      <c r="N122">
        <v>0.92500000000000004</v>
      </c>
      <c r="O122">
        <f t="shared" si="6"/>
        <v>3.3654170704523323</v>
      </c>
      <c r="P122">
        <f t="shared" si="7"/>
        <v>-0.26823092844717067</v>
      </c>
      <c r="Q122">
        <f t="shared" si="8"/>
        <v>-15.368500134898452</v>
      </c>
      <c r="R122">
        <v>0.92500000000000004</v>
      </c>
      <c r="S122">
        <f t="shared" si="9"/>
        <v>0.9642412550015268</v>
      </c>
      <c r="T122">
        <v>72.333165773365195</v>
      </c>
      <c r="U122">
        <f t="shared" si="10"/>
        <v>75.015630578107405</v>
      </c>
      <c r="V122">
        <v>3</v>
      </c>
      <c r="W122">
        <v>3</v>
      </c>
      <c r="X122">
        <v>46495.043522703243</v>
      </c>
      <c r="Y122">
        <f t="shared" si="11"/>
        <v>48219.305367337372</v>
      </c>
      <c r="Z122">
        <v>42.139259079813577</v>
      </c>
      <c r="AA122">
        <v>3</v>
      </c>
      <c r="AB122">
        <v>3</v>
      </c>
      <c r="AC122">
        <v>119976.4464028139</v>
      </c>
      <c r="AD122">
        <v>25.749017039926219</v>
      </c>
      <c r="AE122">
        <v>3</v>
      </c>
      <c r="AF122">
        <v>3</v>
      </c>
      <c r="AG122">
        <v>177161.8404621571</v>
      </c>
      <c r="AH122">
        <v>18.346552691757971</v>
      </c>
      <c r="AI122">
        <v>3</v>
      </c>
      <c r="AJ122">
        <v>3</v>
      </c>
      <c r="AK122">
        <v>228498.3875956173</v>
      </c>
    </row>
    <row r="123" spans="1:37" x14ac:dyDescent="0.4">
      <c r="A123" t="s">
        <v>131</v>
      </c>
      <c r="B123">
        <v>-5.4478885840067797</v>
      </c>
      <c r="C123">
        <v>921.02823756048599</v>
      </c>
      <c r="D123" t="s">
        <v>171</v>
      </c>
      <c r="E123">
        <v>-2.8436861602608179</v>
      </c>
      <c r="F123">
        <v>905.53615219150299</v>
      </c>
      <c r="G123">
        <v>0.13609928012860101</v>
      </c>
      <c r="H123">
        <v>921.76969127499012</v>
      </c>
      <c r="I123" t="s">
        <v>293</v>
      </c>
      <c r="J123" t="s">
        <v>454</v>
      </c>
      <c r="L123">
        <v>911.4345977516366</v>
      </c>
      <c r="M123">
        <v>-2.0742254073187159</v>
      </c>
      <c r="N123">
        <v>0.95</v>
      </c>
      <c r="O123">
        <f t="shared" si="6"/>
        <v>3.3736631766880638</v>
      </c>
      <c r="P123">
        <f t="shared" si="7"/>
        <v>-0.27448529758475027</v>
      </c>
      <c r="Q123">
        <f t="shared" si="8"/>
        <v>-15.726849089998639</v>
      </c>
      <c r="R123">
        <v>0.95</v>
      </c>
      <c r="S123">
        <f t="shared" si="9"/>
        <v>0.96256483600421805</v>
      </c>
      <c r="T123">
        <v>67.995977285864157</v>
      </c>
      <c r="U123">
        <f t="shared" si="10"/>
        <v>70.640412720796917</v>
      </c>
      <c r="V123">
        <v>3.0249999999999999</v>
      </c>
      <c r="W123">
        <v>3.0249999999999999</v>
      </c>
      <c r="X123">
        <v>37337.277719845923</v>
      </c>
      <c r="Y123">
        <f t="shared" si="11"/>
        <v>38789.363919463089</v>
      </c>
      <c r="Z123">
        <v>39.312938914374101</v>
      </c>
      <c r="AA123">
        <v>3.0249999999999999</v>
      </c>
      <c r="AB123">
        <v>3.0249999999999999</v>
      </c>
      <c r="AC123">
        <v>101922.55426147921</v>
      </c>
      <c r="AD123">
        <v>25.001206618328752</v>
      </c>
      <c r="AE123">
        <v>3.0249999999999999</v>
      </c>
      <c r="AF123">
        <v>3.0249999999999999</v>
      </c>
      <c r="AG123">
        <v>169573.29425460761</v>
      </c>
      <c r="AH123">
        <v>16.986146263973719</v>
      </c>
      <c r="AI123">
        <v>3.0249999999999999</v>
      </c>
      <c r="AJ123">
        <v>3.0249999999999999</v>
      </c>
      <c r="AK123">
        <v>191850.74215581009</v>
      </c>
    </row>
    <row r="124" spans="1:37" x14ac:dyDescent="0.4">
      <c r="A124" t="s">
        <v>132</v>
      </c>
      <c r="B124">
        <v>-5.4489114124718414</v>
      </c>
      <c r="C124">
        <v>921.19190087806624</v>
      </c>
      <c r="D124" t="s">
        <v>171</v>
      </c>
      <c r="E124">
        <v>-2.9184425539505279</v>
      </c>
      <c r="F124">
        <v>905.28956593920179</v>
      </c>
      <c r="G124">
        <v>0.14402609644336661</v>
      </c>
      <c r="H124">
        <v>921.97668631867032</v>
      </c>
      <c r="I124" t="s">
        <v>294</v>
      </c>
      <c r="J124" t="s">
        <v>455</v>
      </c>
      <c r="L124">
        <v>911.42979301032449</v>
      </c>
      <c r="M124">
        <v>-2.1039393300895268</v>
      </c>
      <c r="N124">
        <v>0.97499999999999998</v>
      </c>
      <c r="O124">
        <f t="shared" si="6"/>
        <v>3.3449720823823146</v>
      </c>
      <c r="P124">
        <f t="shared" si="7"/>
        <v>-0.28362414548163906</v>
      </c>
      <c r="Q124">
        <f t="shared" si="8"/>
        <v>-16.250466504102377</v>
      </c>
      <c r="R124">
        <v>0.97499999999999998</v>
      </c>
      <c r="S124">
        <f t="shared" si="9"/>
        <v>0.96004757597716295</v>
      </c>
      <c r="T124">
        <v>66.8262430438797</v>
      </c>
      <c r="U124">
        <f t="shared" si="10"/>
        <v>69.607220221208422</v>
      </c>
      <c r="V124">
        <v>3.05</v>
      </c>
      <c r="W124">
        <v>3.05</v>
      </c>
      <c r="X124">
        <v>39050.507370849467</v>
      </c>
      <c r="Y124">
        <f t="shared" si="11"/>
        <v>40675.59603085585</v>
      </c>
      <c r="Z124">
        <v>37.816485511347508</v>
      </c>
      <c r="AA124">
        <v>3.05</v>
      </c>
      <c r="AB124">
        <v>3.05</v>
      </c>
      <c r="AC124">
        <v>97209.945425609883</v>
      </c>
      <c r="AD124">
        <v>23.796833525037918</v>
      </c>
      <c r="AE124">
        <v>3.05</v>
      </c>
      <c r="AF124">
        <v>3.05</v>
      </c>
      <c r="AG124">
        <v>157921.84208913599</v>
      </c>
      <c r="AJ124">
        <v>3.05</v>
      </c>
    </row>
    <row r="125" spans="1:37" x14ac:dyDescent="0.4">
      <c r="A125" t="s">
        <v>133</v>
      </c>
      <c r="B125">
        <v>-5.4226122047365566</v>
      </c>
      <c r="C125">
        <v>921.47935883393291</v>
      </c>
      <c r="D125" t="s">
        <v>171</v>
      </c>
      <c r="E125">
        <v>-3.0223428072903959</v>
      </c>
      <c r="F125">
        <v>905.09036584022226</v>
      </c>
      <c r="G125">
        <v>0.14246419489272949</v>
      </c>
      <c r="H125">
        <v>922.25188691589619</v>
      </c>
      <c r="I125" t="s">
        <v>295</v>
      </c>
      <c r="J125" t="s">
        <v>456</v>
      </c>
      <c r="L125">
        <v>911.43077819369898</v>
      </c>
      <c r="M125">
        <v>-2.097846668528021</v>
      </c>
      <c r="N125">
        <v>1</v>
      </c>
      <c r="O125">
        <f t="shared" si="6"/>
        <v>3.3247655362085355</v>
      </c>
      <c r="P125">
        <f t="shared" si="7"/>
        <v>-0.29216589929608205</v>
      </c>
      <c r="Q125">
        <f t="shared" si="8"/>
        <v>-16.739872947309731</v>
      </c>
      <c r="R125">
        <v>1</v>
      </c>
      <c r="S125">
        <f t="shared" si="9"/>
        <v>0.95762228465635391</v>
      </c>
      <c r="U125">
        <f t="shared" si="10"/>
        <v>0</v>
      </c>
      <c r="W125">
        <v>3.0750000000000002</v>
      </c>
      <c r="Y125">
        <f t="shared" si="11"/>
        <v>0</v>
      </c>
      <c r="Z125">
        <v>35.997547893281151</v>
      </c>
      <c r="AA125">
        <v>3.0750000000000002</v>
      </c>
      <c r="AB125">
        <v>3.0750000000000002</v>
      </c>
      <c r="AC125">
        <v>88704.205516069356</v>
      </c>
      <c r="AD125">
        <v>22.87133935256519</v>
      </c>
      <c r="AE125">
        <v>3.0750000000000002</v>
      </c>
      <c r="AF125">
        <v>3.0750000000000002</v>
      </c>
      <c r="AG125">
        <v>135339.1763229761</v>
      </c>
      <c r="AH125">
        <v>16.099614643399079</v>
      </c>
      <c r="AI125">
        <v>3.0750000000000002</v>
      </c>
      <c r="AJ125">
        <v>3.0750000000000002</v>
      </c>
      <c r="AK125">
        <v>167755.09505955319</v>
      </c>
    </row>
    <row r="126" spans="1:37" x14ac:dyDescent="0.4">
      <c r="A126" t="s">
        <v>134</v>
      </c>
      <c r="B126">
        <v>-5.4483064934771877</v>
      </c>
      <c r="C126">
        <v>921.72410300832883</v>
      </c>
      <c r="D126" t="s">
        <v>171</v>
      </c>
      <c r="E126">
        <v>-3.0810527730061872</v>
      </c>
      <c r="F126">
        <v>904.93758317841332</v>
      </c>
      <c r="G126">
        <v>0.14461768964022201</v>
      </c>
      <c r="H126">
        <v>922.51202450586732</v>
      </c>
      <c r="I126" t="s">
        <v>296</v>
      </c>
      <c r="J126" t="s">
        <v>457</v>
      </c>
      <c r="L126">
        <v>911.42930126997032</v>
      </c>
      <c r="M126">
        <v>-2.106980395978344</v>
      </c>
      <c r="N126">
        <v>1.0249999999999999</v>
      </c>
      <c r="O126">
        <f t="shared" si="6"/>
        <v>3.3413260974988437</v>
      </c>
      <c r="P126">
        <f t="shared" si="7"/>
        <v>-0.29765108301611343</v>
      </c>
      <c r="Q126">
        <f t="shared" si="8"/>
        <v>-17.054150824321397</v>
      </c>
      <c r="R126">
        <v>1.0249999999999999</v>
      </c>
      <c r="S126">
        <f t="shared" si="9"/>
        <v>0.95602800542898014</v>
      </c>
      <c r="T126">
        <v>63.703320938130616</v>
      </c>
      <c r="U126">
        <f t="shared" si="10"/>
        <v>66.633320965891841</v>
      </c>
      <c r="V126">
        <v>3.1</v>
      </c>
      <c r="W126">
        <v>3.1</v>
      </c>
      <c r="X126">
        <v>35106.681797873884</v>
      </c>
      <c r="Y126">
        <f t="shared" si="11"/>
        <v>36721.394769310275</v>
      </c>
      <c r="Z126">
        <v>33.722874226411527</v>
      </c>
      <c r="AA126">
        <v>3.1</v>
      </c>
      <c r="AB126">
        <v>3.1</v>
      </c>
      <c r="AC126">
        <v>73364.250065132263</v>
      </c>
      <c r="AD126">
        <v>20.981209632303081</v>
      </c>
      <c r="AE126">
        <v>3.1</v>
      </c>
      <c r="AF126">
        <v>3.1</v>
      </c>
      <c r="AG126">
        <v>115096.4639872949</v>
      </c>
      <c r="AH126">
        <v>14.848580517872721</v>
      </c>
      <c r="AI126">
        <v>3.1</v>
      </c>
      <c r="AJ126">
        <v>3.1</v>
      </c>
      <c r="AK126">
        <v>151535.20438738129</v>
      </c>
    </row>
    <row r="127" spans="1:37" x14ac:dyDescent="0.4">
      <c r="A127" t="s">
        <v>135</v>
      </c>
      <c r="B127">
        <v>-5.3461761657829179</v>
      </c>
      <c r="C127">
        <v>921.97548658576261</v>
      </c>
      <c r="D127" t="s">
        <v>171</v>
      </c>
      <c r="E127">
        <v>-3.2007949604206591</v>
      </c>
      <c r="F127">
        <v>904.86347285680358</v>
      </c>
      <c r="G127">
        <v>0.14822545668069431</v>
      </c>
      <c r="H127">
        <v>922.76792598943121</v>
      </c>
      <c r="I127" t="s">
        <v>297</v>
      </c>
      <c r="J127" t="s">
        <v>458</v>
      </c>
      <c r="L127">
        <v>911.43787001440887</v>
      </c>
      <c r="M127">
        <v>-2.0539887791654658</v>
      </c>
      <c r="N127">
        <v>1.05</v>
      </c>
      <c r="O127">
        <f t="shared" si="6"/>
        <v>3.292187386617452</v>
      </c>
      <c r="P127">
        <f t="shared" si="7"/>
        <v>-0.30873828581373552</v>
      </c>
      <c r="Q127">
        <f t="shared" si="8"/>
        <v>-17.689400751230785</v>
      </c>
      <c r="R127">
        <v>1.05</v>
      </c>
      <c r="S127">
        <f t="shared" si="9"/>
        <v>0.95271770857222804</v>
      </c>
      <c r="T127">
        <v>60.416054442290957</v>
      </c>
      <c r="U127">
        <f t="shared" si="10"/>
        <v>63.41443420090544</v>
      </c>
      <c r="V127">
        <v>3.125</v>
      </c>
      <c r="W127">
        <v>3.125</v>
      </c>
      <c r="X127">
        <v>32482.840828735589</v>
      </c>
      <c r="Y127">
        <f t="shared" si="11"/>
        <v>34094.927108487747</v>
      </c>
      <c r="Z127">
        <v>32.799039578720453</v>
      </c>
      <c r="AA127">
        <v>3.125</v>
      </c>
      <c r="AB127">
        <v>3.125</v>
      </c>
      <c r="AC127">
        <v>67997.724586080658</v>
      </c>
      <c r="AD127">
        <v>19.979646831921311</v>
      </c>
      <c r="AE127">
        <v>3.125</v>
      </c>
      <c r="AF127">
        <v>3.125</v>
      </c>
      <c r="AG127">
        <v>116481.36316004759</v>
      </c>
      <c r="AH127">
        <v>14.45437946084594</v>
      </c>
      <c r="AI127">
        <v>3.125</v>
      </c>
      <c r="AJ127">
        <v>3.125</v>
      </c>
      <c r="AK127">
        <v>120786.8966409362</v>
      </c>
    </row>
    <row r="128" spans="1:37" x14ac:dyDescent="0.4">
      <c r="A128" t="s">
        <v>136</v>
      </c>
      <c r="B128">
        <v>-5.3262667335141467</v>
      </c>
      <c r="C128">
        <v>922.26924834663168</v>
      </c>
      <c r="D128" t="s">
        <v>171</v>
      </c>
      <c r="E128">
        <v>-3.2893493396659892</v>
      </c>
      <c r="F128">
        <v>904.74929638386197</v>
      </c>
      <c r="G128">
        <v>0.1474663767184943</v>
      </c>
      <c r="H128">
        <v>923.05469360325924</v>
      </c>
      <c r="I128" t="s">
        <v>298</v>
      </c>
      <c r="J128" t="s">
        <v>459</v>
      </c>
      <c r="L128">
        <v>911.44104267809587</v>
      </c>
      <c r="M128">
        <v>-2.034368100829639</v>
      </c>
      <c r="N128">
        <v>1.075</v>
      </c>
      <c r="O128">
        <f t="shared" si="6"/>
        <v>3.2918986326845077</v>
      </c>
      <c r="P128">
        <f t="shared" si="7"/>
        <v>-0.31564155446742204</v>
      </c>
      <c r="Q128">
        <f t="shared" si="8"/>
        <v>-18.084928909931978</v>
      </c>
      <c r="R128">
        <v>1.075</v>
      </c>
      <c r="S128">
        <f t="shared" si="9"/>
        <v>0.95059741911634232</v>
      </c>
      <c r="T128">
        <v>60.84253766930145</v>
      </c>
      <c r="U128">
        <f t="shared" si="10"/>
        <v>64.004526464904089</v>
      </c>
      <c r="V128">
        <v>3.15</v>
      </c>
      <c r="W128">
        <v>3.15</v>
      </c>
      <c r="X128">
        <v>31565.465261654648</v>
      </c>
      <c r="Y128">
        <f t="shared" si="11"/>
        <v>33205.92358750281</v>
      </c>
      <c r="AB128">
        <v>3.15</v>
      </c>
      <c r="AD128">
        <v>20.027769598102601</v>
      </c>
      <c r="AE128">
        <v>3.15</v>
      </c>
      <c r="AF128">
        <v>3.15</v>
      </c>
      <c r="AG128">
        <v>99691.624227774664</v>
      </c>
      <c r="AH128">
        <v>14.36591511611106</v>
      </c>
      <c r="AI128">
        <v>3.15</v>
      </c>
      <c r="AJ128">
        <v>3.15</v>
      </c>
      <c r="AK128">
        <v>128247.1566583707</v>
      </c>
    </row>
    <row r="129" spans="1:37" x14ac:dyDescent="0.4">
      <c r="A129" t="s">
        <v>137</v>
      </c>
      <c r="B129">
        <v>-5.3267010872368088</v>
      </c>
      <c r="C129">
        <v>922.59259621502918</v>
      </c>
      <c r="D129" t="s">
        <v>171</v>
      </c>
      <c r="E129">
        <v>-3.3841876613611408</v>
      </c>
      <c r="F129">
        <v>904.56604011984336</v>
      </c>
      <c r="G129">
        <v>0.14467010667877231</v>
      </c>
      <c r="H129">
        <v>923.36321062956563</v>
      </c>
      <c r="I129" t="s">
        <v>299</v>
      </c>
      <c r="J129" t="s">
        <v>460</v>
      </c>
      <c r="L129">
        <v>911.44148417208885</v>
      </c>
      <c r="M129">
        <v>-2.031637773105055</v>
      </c>
      <c r="N129">
        <v>1.1000000000000001</v>
      </c>
      <c r="O129">
        <f t="shared" si="6"/>
        <v>3.2950633141317538</v>
      </c>
      <c r="P129">
        <f t="shared" si="7"/>
        <v>-0.3221999490417784</v>
      </c>
      <c r="Q129">
        <f t="shared" si="8"/>
        <v>-18.460697239424096</v>
      </c>
      <c r="R129">
        <v>1.1000000000000001</v>
      </c>
      <c r="S129">
        <f t="shared" si="9"/>
        <v>0.94854109119468022</v>
      </c>
      <c r="T129">
        <v>60.559059773768183</v>
      </c>
      <c r="U129">
        <f t="shared" si="10"/>
        <v>63.844424175124047</v>
      </c>
      <c r="V129">
        <v>3.1749999999999998</v>
      </c>
      <c r="W129">
        <v>3.1749999999999998</v>
      </c>
      <c r="X129">
        <v>29523.598140976439</v>
      </c>
      <c r="Y129">
        <f t="shared" si="11"/>
        <v>31125.270602448749</v>
      </c>
      <c r="Z129">
        <v>32.172698486875078</v>
      </c>
      <c r="AA129">
        <v>3.1749999999999998</v>
      </c>
      <c r="AB129">
        <v>3.1749999999999998</v>
      </c>
      <c r="AC129">
        <v>67611.813794502508</v>
      </c>
      <c r="AF129">
        <v>3.1749999999999998</v>
      </c>
      <c r="AH129">
        <v>13.53098019164716</v>
      </c>
      <c r="AI129">
        <v>3.1749999999999998</v>
      </c>
      <c r="AJ129">
        <v>3.1749999999999998</v>
      </c>
      <c r="AK129">
        <v>106587.1701942646</v>
      </c>
    </row>
    <row r="130" spans="1:37" x14ac:dyDescent="0.4">
      <c r="A130" t="s">
        <v>138</v>
      </c>
      <c r="B130">
        <v>-5.3897494007286646</v>
      </c>
      <c r="C130">
        <v>922.9178297247031</v>
      </c>
      <c r="D130" t="s">
        <v>171</v>
      </c>
      <c r="E130">
        <v>-3.4462049935722909</v>
      </c>
      <c r="F130">
        <v>904.34364842580874</v>
      </c>
      <c r="G130">
        <v>0.14150477857498331</v>
      </c>
      <c r="H130">
        <v>923.68050502022788</v>
      </c>
      <c r="I130" t="s">
        <v>300</v>
      </c>
      <c r="J130" t="s">
        <v>461</v>
      </c>
      <c r="L130">
        <v>911.43716387532379</v>
      </c>
      <c r="M130">
        <v>-2.0583557493891749</v>
      </c>
      <c r="N130">
        <v>1.125</v>
      </c>
      <c r="O130">
        <f t="shared" si="6"/>
        <v>3.3313936513394897</v>
      </c>
      <c r="P130">
        <f t="shared" si="7"/>
        <v>-0.32567225737898986</v>
      </c>
      <c r="Q130">
        <f t="shared" si="8"/>
        <v>-18.659645852314402</v>
      </c>
      <c r="R130">
        <v>1.125</v>
      </c>
      <c r="S130">
        <f t="shared" si="9"/>
        <v>0.94743585460763491</v>
      </c>
      <c r="T130">
        <v>57.749353049492463</v>
      </c>
      <c r="U130">
        <f t="shared" si="10"/>
        <v>60.953311792710664</v>
      </c>
      <c r="V130">
        <v>3.2</v>
      </c>
      <c r="W130">
        <v>3.2</v>
      </c>
      <c r="X130">
        <v>28385.556891674409</v>
      </c>
      <c r="Y130">
        <f t="shared" si="11"/>
        <v>29960.399697380912</v>
      </c>
      <c r="Z130">
        <v>30.152562644100591</v>
      </c>
      <c r="AA130">
        <v>3.2</v>
      </c>
      <c r="AB130">
        <v>3.2</v>
      </c>
      <c r="AC130">
        <v>53194.825381995572</v>
      </c>
      <c r="AD130">
        <v>16.831706328496018</v>
      </c>
      <c r="AE130">
        <v>3.2</v>
      </c>
      <c r="AF130">
        <v>3.2</v>
      </c>
      <c r="AG130">
        <v>63123.861087134457</v>
      </c>
      <c r="AH130">
        <v>12.902460183262029</v>
      </c>
      <c r="AI130">
        <v>3.2</v>
      </c>
      <c r="AJ130">
        <v>3.2</v>
      </c>
      <c r="AK130">
        <v>102489.6368131866</v>
      </c>
    </row>
    <row r="131" spans="1:37" x14ac:dyDescent="0.4">
      <c r="A131" t="s">
        <v>139</v>
      </c>
      <c r="B131">
        <v>-5.2548270766034966</v>
      </c>
      <c r="C131">
        <v>923.17550651223166</v>
      </c>
      <c r="D131" t="s">
        <v>171</v>
      </c>
      <c r="E131">
        <v>-3.5873949039839581</v>
      </c>
      <c r="F131">
        <v>904.32436663630733</v>
      </c>
      <c r="G131">
        <v>0.14484590462241889</v>
      </c>
      <c r="H131">
        <v>923.93664669377665</v>
      </c>
      <c r="I131" t="s">
        <v>301</v>
      </c>
      <c r="J131" t="s">
        <v>462</v>
      </c>
      <c r="L131">
        <v>911.4488668048956</v>
      </c>
      <c r="M131">
        <v>-1.985981416848581</v>
      </c>
      <c r="N131">
        <v>1.1499999999999999</v>
      </c>
      <c r="O131">
        <f t="shared" ref="O131:O162" si="12">M131-B131</f>
        <v>3.2688456597549154</v>
      </c>
      <c r="P131">
        <f t="shared" ref="P131:P162" si="13">ATAN2(N131,O131)-PI()/2</f>
        <v>-0.33828295290056376</v>
      </c>
      <c r="Q131">
        <f t="shared" ref="Q131:Q162" si="14">P131*180/PI()</f>
        <v>-19.382185482425111</v>
      </c>
      <c r="R131">
        <v>1.1499999999999999</v>
      </c>
      <c r="S131">
        <f t="shared" ref="S131:S162" si="15">COS(P131)</f>
        <v>0.94332588855300881</v>
      </c>
      <c r="U131">
        <f t="shared" ref="U131:U159" si="16">T131/S131</f>
        <v>0</v>
      </c>
      <c r="W131">
        <v>3.2250000000000001</v>
      </c>
      <c r="Y131">
        <f t="shared" ref="Y131:Y159" si="17">X131/S131</f>
        <v>0</v>
      </c>
      <c r="Z131">
        <v>29.401592279312979</v>
      </c>
      <c r="AA131">
        <v>3.2250000000000001</v>
      </c>
      <c r="AB131">
        <v>3.2250000000000001</v>
      </c>
      <c r="AC131">
        <v>47839.777255819798</v>
      </c>
      <c r="AD131">
        <v>16.852973081336099</v>
      </c>
      <c r="AE131">
        <v>3.2250000000000001</v>
      </c>
      <c r="AF131">
        <v>3.2250000000000001</v>
      </c>
      <c r="AG131">
        <v>58397.568024416847</v>
      </c>
      <c r="AH131">
        <v>12.507803258978649</v>
      </c>
      <c r="AI131">
        <v>3.2250000000000001</v>
      </c>
      <c r="AJ131">
        <v>3.2250000000000001</v>
      </c>
      <c r="AK131">
        <v>88776.061676043828</v>
      </c>
    </row>
    <row r="132" spans="1:37" x14ac:dyDescent="0.4">
      <c r="A132" t="s">
        <v>140</v>
      </c>
      <c r="B132">
        <v>-5.1656808370415863</v>
      </c>
      <c r="C132">
        <v>923.4664088158961</v>
      </c>
      <c r="D132" t="s">
        <v>171</v>
      </c>
      <c r="E132">
        <v>-3.697788862012898</v>
      </c>
      <c r="F132">
        <v>904.36481175197025</v>
      </c>
      <c r="G132">
        <v>0.14199025987271249</v>
      </c>
      <c r="H132">
        <v>924.19988518036712</v>
      </c>
      <c r="I132" t="s">
        <v>302</v>
      </c>
      <c r="J132" t="s">
        <v>463</v>
      </c>
      <c r="L132">
        <v>911.45974677746199</v>
      </c>
      <c r="M132">
        <v>-1.9186964906493971</v>
      </c>
      <c r="N132">
        <v>1.175</v>
      </c>
      <c r="O132">
        <f t="shared" si="12"/>
        <v>3.246984346392189</v>
      </c>
      <c r="P132">
        <f t="shared" si="13"/>
        <v>-0.34721379738771496</v>
      </c>
      <c r="Q132">
        <f t="shared" si="14"/>
        <v>-19.893885179026555</v>
      </c>
      <c r="R132">
        <v>1.175</v>
      </c>
      <c r="S132">
        <f t="shared" si="15"/>
        <v>0.94032444824056627</v>
      </c>
      <c r="T132">
        <v>55.258009633630998</v>
      </c>
      <c r="U132">
        <f t="shared" si="16"/>
        <v>58.764833496591336</v>
      </c>
      <c r="V132">
        <v>3.25</v>
      </c>
      <c r="W132">
        <v>3.25</v>
      </c>
      <c r="X132">
        <v>24571.26946632308</v>
      </c>
      <c r="Y132">
        <f t="shared" si="17"/>
        <v>26130.629180489977</v>
      </c>
      <c r="Z132">
        <v>28.792110666970711</v>
      </c>
      <c r="AA132">
        <v>3.25</v>
      </c>
      <c r="AB132">
        <v>3.25</v>
      </c>
      <c r="AC132">
        <v>43956.363930689702</v>
      </c>
      <c r="AF132">
        <v>3.25</v>
      </c>
      <c r="AJ132">
        <v>3.25</v>
      </c>
    </row>
    <row r="133" spans="1:37" x14ac:dyDescent="0.4">
      <c r="A133" t="s">
        <v>141</v>
      </c>
      <c r="B133">
        <v>-5.2771644444344226</v>
      </c>
      <c r="C133">
        <v>923.69562243709265</v>
      </c>
      <c r="D133" t="s">
        <v>171</v>
      </c>
      <c r="E133">
        <v>-3.729596182063827</v>
      </c>
      <c r="F133">
        <v>904.01393007300703</v>
      </c>
      <c r="G133">
        <v>0.14144410462423751</v>
      </c>
      <c r="H133">
        <v>924.44204623689052</v>
      </c>
      <c r="I133" t="s">
        <v>303</v>
      </c>
      <c r="J133" t="s">
        <v>464</v>
      </c>
      <c r="L133">
        <v>911.44770210258991</v>
      </c>
      <c r="M133">
        <v>-1.9931842758813569</v>
      </c>
      <c r="N133">
        <v>1.2</v>
      </c>
      <c r="O133">
        <f t="shared" si="12"/>
        <v>3.2839801685530654</v>
      </c>
      <c r="P133">
        <f t="shared" si="13"/>
        <v>-0.35033682351830309</v>
      </c>
      <c r="Q133">
        <f t="shared" si="14"/>
        <v>-20.072821395618327</v>
      </c>
      <c r="R133">
        <v>1.2</v>
      </c>
      <c r="S133">
        <f t="shared" si="15"/>
        <v>0.93925716351768185</v>
      </c>
      <c r="T133">
        <v>53.722399325074257</v>
      </c>
      <c r="U133">
        <f t="shared" si="16"/>
        <v>57.196688416912899</v>
      </c>
      <c r="V133">
        <v>3.2749999999999999</v>
      </c>
      <c r="W133">
        <v>3.2749999999999999</v>
      </c>
      <c r="X133">
        <v>24282.95437123768</v>
      </c>
      <c r="Y133">
        <f t="shared" si="17"/>
        <v>25853.360841341662</v>
      </c>
      <c r="Z133">
        <v>28.017853221973489</v>
      </c>
      <c r="AA133">
        <v>3.2749999999999999</v>
      </c>
      <c r="AB133">
        <v>3.2749999999999999</v>
      </c>
      <c r="AC133">
        <v>38117.388806490417</v>
      </c>
      <c r="AD133">
        <v>14.95693495971191</v>
      </c>
      <c r="AE133">
        <v>3.2749999999999999</v>
      </c>
      <c r="AF133">
        <v>3.2749999999999999</v>
      </c>
      <c r="AG133">
        <v>41334.905126804893</v>
      </c>
      <c r="AJ133">
        <v>3.2749999999999999</v>
      </c>
    </row>
    <row r="134" spans="1:37" x14ac:dyDescent="0.4">
      <c r="A134" t="s">
        <v>142</v>
      </c>
      <c r="B134">
        <v>-5.1468342397847708</v>
      </c>
      <c r="C134">
        <v>923.97202356047455</v>
      </c>
      <c r="D134" t="s">
        <v>171</v>
      </c>
      <c r="E134">
        <v>-3.8663123021927301</v>
      </c>
      <c r="F134">
        <v>904.07275502184791</v>
      </c>
      <c r="G134">
        <v>0.14297029014643431</v>
      </c>
      <c r="H134">
        <v>924.70786794507217</v>
      </c>
      <c r="I134" t="s">
        <v>304</v>
      </c>
      <c r="J134" t="s">
        <v>465</v>
      </c>
      <c r="L134">
        <v>911.46100277841776</v>
      </c>
      <c r="M134">
        <v>-1.9109290141141471</v>
      </c>
      <c r="N134">
        <v>1.2250000000000001</v>
      </c>
      <c r="O134">
        <f t="shared" si="12"/>
        <v>3.2359052256706238</v>
      </c>
      <c r="P134">
        <f t="shared" si="13"/>
        <v>-0.36189235582567059</v>
      </c>
      <c r="Q134">
        <f t="shared" si="14"/>
        <v>-20.734904626857556</v>
      </c>
      <c r="R134">
        <v>1.2250000000000001</v>
      </c>
      <c r="S134">
        <f t="shared" si="15"/>
        <v>0.93522852015052071</v>
      </c>
      <c r="T134">
        <v>55.552152993682007</v>
      </c>
      <c r="U134">
        <f t="shared" si="16"/>
        <v>59.399549732231371</v>
      </c>
      <c r="V134">
        <v>3.3</v>
      </c>
      <c r="W134">
        <v>3.3</v>
      </c>
      <c r="X134">
        <v>23424.1874015102</v>
      </c>
      <c r="Y134">
        <f t="shared" si="17"/>
        <v>25046.485320764368</v>
      </c>
      <c r="AB134">
        <v>3.3</v>
      </c>
      <c r="AF134">
        <v>3.3</v>
      </c>
      <c r="AJ134">
        <v>3.3</v>
      </c>
    </row>
    <row r="135" spans="1:37" x14ac:dyDescent="0.4">
      <c r="A135" t="s">
        <v>143</v>
      </c>
      <c r="B135">
        <v>-5.0174791220211654</v>
      </c>
      <c r="C135">
        <v>924.29324700759639</v>
      </c>
      <c r="D135" t="s">
        <v>171</v>
      </c>
      <c r="E135">
        <v>-4.0295166134420857</v>
      </c>
      <c r="F135">
        <v>904.07523152781334</v>
      </c>
      <c r="G135">
        <v>0.14029813728353191</v>
      </c>
      <c r="H135">
        <v>924.99718998227502</v>
      </c>
      <c r="I135" t="s">
        <v>305</v>
      </c>
      <c r="J135" t="s">
        <v>466</v>
      </c>
      <c r="L135">
        <v>911.47313062158321</v>
      </c>
      <c r="M135">
        <v>-1.8359268918788869</v>
      </c>
      <c r="N135">
        <v>1.25</v>
      </c>
      <c r="O135">
        <f t="shared" si="12"/>
        <v>3.1815522301422785</v>
      </c>
      <c r="P135">
        <f t="shared" si="13"/>
        <v>-0.37436206461141985</v>
      </c>
      <c r="Q135">
        <f t="shared" si="14"/>
        <v>-21.449366312038187</v>
      </c>
      <c r="R135">
        <v>1.25</v>
      </c>
      <c r="S135">
        <f t="shared" si="15"/>
        <v>0.9307410907642244</v>
      </c>
      <c r="T135">
        <v>52.611918591317362</v>
      </c>
      <c r="U135">
        <f t="shared" si="16"/>
        <v>56.526910773992064</v>
      </c>
      <c r="V135">
        <v>3.3250000000000002</v>
      </c>
      <c r="W135">
        <v>3.3250000000000002</v>
      </c>
      <c r="X135">
        <v>22681.821672947401</v>
      </c>
      <c r="Y135">
        <f t="shared" si="17"/>
        <v>24369.636086791365</v>
      </c>
      <c r="Z135">
        <v>26.39741971761336</v>
      </c>
      <c r="AA135">
        <v>3.3250000000000002</v>
      </c>
      <c r="AB135">
        <v>3.3250000000000002</v>
      </c>
      <c r="AC135">
        <v>31572.278836740112</v>
      </c>
      <c r="AD135">
        <v>14.32350349384966</v>
      </c>
      <c r="AE135">
        <v>3.3250000000000002</v>
      </c>
      <c r="AF135">
        <v>3.3250000000000002</v>
      </c>
      <c r="AG135">
        <v>32156.023695872591</v>
      </c>
      <c r="AH135">
        <v>9.4655342860931047</v>
      </c>
      <c r="AI135">
        <v>3.3250000000000002</v>
      </c>
      <c r="AJ135">
        <v>3.3250000000000002</v>
      </c>
      <c r="AK135">
        <v>37632.443996418573</v>
      </c>
    </row>
    <row r="136" spans="1:37" x14ac:dyDescent="0.4">
      <c r="A136" t="s">
        <v>144</v>
      </c>
      <c r="B136">
        <v>-4.9103732491342429</v>
      </c>
      <c r="C136">
        <v>924.57591644872355</v>
      </c>
      <c r="D136" t="s">
        <v>171</v>
      </c>
      <c r="E136">
        <v>-4.1487926117578242</v>
      </c>
      <c r="F136">
        <v>904.20379619174219</v>
      </c>
      <c r="G136">
        <v>0.1424870977181609</v>
      </c>
      <c r="H136">
        <v>925.27558128170563</v>
      </c>
      <c r="I136" t="s">
        <v>306</v>
      </c>
      <c r="J136" t="s">
        <v>467</v>
      </c>
      <c r="L136">
        <v>911.48616815366597</v>
      </c>
      <c r="M136">
        <v>-1.7552989878419869</v>
      </c>
      <c r="N136">
        <v>1.2749999999999999</v>
      </c>
      <c r="O136">
        <f t="shared" si="12"/>
        <v>3.1550742612922562</v>
      </c>
      <c r="P136">
        <f t="shared" si="13"/>
        <v>-0.38404525256570343</v>
      </c>
      <c r="Q136">
        <f t="shared" si="14"/>
        <v>-22.004172114050558</v>
      </c>
      <c r="R136">
        <v>1.2749999999999999</v>
      </c>
      <c r="S136">
        <f t="shared" si="15"/>
        <v>0.92715657433282284</v>
      </c>
      <c r="U136">
        <f t="shared" si="16"/>
        <v>0</v>
      </c>
      <c r="W136">
        <v>3.35</v>
      </c>
      <c r="Y136">
        <f t="shared" si="17"/>
        <v>0</v>
      </c>
      <c r="Z136">
        <v>24.968182455268</v>
      </c>
      <c r="AA136">
        <v>3.35</v>
      </c>
      <c r="AB136">
        <v>3.35</v>
      </c>
      <c r="AC136">
        <v>29456.213531106099</v>
      </c>
      <c r="AD136">
        <v>13.511829416058349</v>
      </c>
      <c r="AE136">
        <v>3.35</v>
      </c>
      <c r="AF136">
        <v>3.35</v>
      </c>
      <c r="AG136">
        <v>27751.130873696591</v>
      </c>
      <c r="AH136">
        <v>9.1398628508105428</v>
      </c>
      <c r="AI136">
        <v>3.35</v>
      </c>
      <c r="AJ136">
        <v>3.35</v>
      </c>
      <c r="AK136">
        <v>32588.458510285829</v>
      </c>
    </row>
    <row r="137" spans="1:37" x14ac:dyDescent="0.4">
      <c r="A137" t="s">
        <v>145</v>
      </c>
      <c r="B137">
        <v>-4.9275127747725049</v>
      </c>
      <c r="C137">
        <v>924.7909054880131</v>
      </c>
      <c r="D137" t="s">
        <v>171</v>
      </c>
      <c r="E137">
        <v>-4.2292330023582219</v>
      </c>
      <c r="F137">
        <v>903.9513058414035</v>
      </c>
      <c r="G137">
        <v>0.14677133157526781</v>
      </c>
      <c r="H137">
        <v>925.51412309932061</v>
      </c>
      <c r="I137" t="s">
        <v>307</v>
      </c>
      <c r="J137" t="s">
        <v>468</v>
      </c>
      <c r="L137">
        <v>911.48206966268901</v>
      </c>
      <c r="M137">
        <v>-1.780645252387121</v>
      </c>
      <c r="N137">
        <v>1.3</v>
      </c>
      <c r="O137">
        <f t="shared" si="12"/>
        <v>3.1468675223853841</v>
      </c>
      <c r="P137">
        <f t="shared" si="13"/>
        <v>-0.39175610198077049</v>
      </c>
      <c r="Q137">
        <f t="shared" si="14"/>
        <v>-22.445971241994819</v>
      </c>
      <c r="R137">
        <v>1.3</v>
      </c>
      <c r="S137">
        <f t="shared" si="15"/>
        <v>0.92423998441114852</v>
      </c>
      <c r="T137">
        <v>49.649387530495339</v>
      </c>
      <c r="U137">
        <f t="shared" si="16"/>
        <v>53.719151267977161</v>
      </c>
      <c r="V137">
        <v>3.375</v>
      </c>
      <c r="W137">
        <v>3.375</v>
      </c>
      <c r="X137">
        <v>18434.152709688529</v>
      </c>
      <c r="Y137">
        <f t="shared" si="17"/>
        <v>19945.201485124333</v>
      </c>
      <c r="AB137">
        <v>3.375</v>
      </c>
      <c r="AD137">
        <v>12.75283420322787</v>
      </c>
      <c r="AE137">
        <v>3.375</v>
      </c>
      <c r="AF137">
        <v>3.375</v>
      </c>
      <c r="AG137">
        <v>21688.41066629604</v>
      </c>
      <c r="AH137">
        <v>9.2382163229459717</v>
      </c>
      <c r="AI137">
        <v>3.375</v>
      </c>
      <c r="AJ137">
        <v>3.375</v>
      </c>
      <c r="AK137">
        <v>38230.099486041443</v>
      </c>
    </row>
    <row r="138" spans="1:37" x14ac:dyDescent="0.4">
      <c r="A138" t="s">
        <v>146</v>
      </c>
      <c r="B138">
        <v>-5.0239427381741821</v>
      </c>
      <c r="C138">
        <v>925.36052688169036</v>
      </c>
      <c r="D138" t="s">
        <v>171</v>
      </c>
      <c r="E138">
        <v>-4.2789797157396583</v>
      </c>
      <c r="F138">
        <v>903.86317781200546</v>
      </c>
      <c r="G138">
        <v>0.1208210876156124</v>
      </c>
      <c r="H138">
        <v>925.96752510743511</v>
      </c>
      <c r="I138" t="s">
        <v>308</v>
      </c>
      <c r="J138" t="s">
        <v>469</v>
      </c>
      <c r="L138">
        <v>911.48208618558419</v>
      </c>
      <c r="M138">
        <v>-1.7805430699802809</v>
      </c>
      <c r="N138">
        <v>1.325</v>
      </c>
      <c r="O138">
        <f t="shared" si="12"/>
        <v>3.2433996681939012</v>
      </c>
      <c r="P138">
        <f t="shared" si="13"/>
        <v>-0.38783124084797893</v>
      </c>
      <c r="Q138">
        <f t="shared" si="14"/>
        <v>-22.221093263910927</v>
      </c>
      <c r="R138">
        <v>1.325</v>
      </c>
      <c r="S138">
        <f t="shared" si="15"/>
        <v>0.92573142115418516</v>
      </c>
      <c r="U138">
        <f t="shared" si="16"/>
        <v>0</v>
      </c>
      <c r="W138">
        <v>3.4</v>
      </c>
      <c r="Y138">
        <f t="shared" si="17"/>
        <v>0</v>
      </c>
      <c r="Z138">
        <v>23.511633099804371</v>
      </c>
      <c r="AA138">
        <v>3.4</v>
      </c>
      <c r="AB138">
        <v>3.4</v>
      </c>
      <c r="AC138">
        <v>23365.58961847558</v>
      </c>
      <c r="AD138">
        <v>12.65864132887514</v>
      </c>
      <c r="AE138">
        <v>3.4</v>
      </c>
      <c r="AF138">
        <v>3.4</v>
      </c>
      <c r="AG138">
        <v>21403.42875831683</v>
      </c>
      <c r="AH138">
        <v>7.8694857331006478</v>
      </c>
      <c r="AI138">
        <v>3.4</v>
      </c>
      <c r="AJ138">
        <v>3.4</v>
      </c>
      <c r="AK138">
        <v>24126.909741862699</v>
      </c>
    </row>
    <row r="139" spans="1:37" x14ac:dyDescent="0.4">
      <c r="A139" t="s">
        <v>147</v>
      </c>
      <c r="B139">
        <v>-4.570118837142112</v>
      </c>
      <c r="C139">
        <v>925.4087493745086</v>
      </c>
      <c r="D139" t="s">
        <v>171</v>
      </c>
      <c r="E139">
        <v>-4.5945913470028037</v>
      </c>
      <c r="F139">
        <v>904.41092091060091</v>
      </c>
      <c r="G139">
        <v>0.1450037323548285</v>
      </c>
      <c r="H139">
        <v>926.07143366319929</v>
      </c>
      <c r="I139" t="s">
        <v>309</v>
      </c>
      <c r="J139" t="s">
        <v>470</v>
      </c>
      <c r="L139">
        <v>911.51981281122198</v>
      </c>
      <c r="M139">
        <v>-1.5472306046875499</v>
      </c>
      <c r="N139">
        <v>1.35</v>
      </c>
      <c r="O139">
        <f t="shared" si="12"/>
        <v>3.0228882324545623</v>
      </c>
      <c r="P139">
        <f t="shared" si="13"/>
        <v>-0.42001685298511315</v>
      </c>
      <c r="Q139">
        <f t="shared" si="14"/>
        <v>-24.065193000413757</v>
      </c>
      <c r="R139">
        <v>1.35</v>
      </c>
      <c r="S139">
        <f t="shared" si="15"/>
        <v>0.91308206820179427</v>
      </c>
      <c r="T139">
        <v>47.12374985024428</v>
      </c>
      <c r="U139">
        <f t="shared" si="16"/>
        <v>51.609544740100809</v>
      </c>
      <c r="V139">
        <v>3.4249999999999998</v>
      </c>
      <c r="W139">
        <v>3.4249999999999998</v>
      </c>
      <c r="X139">
        <v>17157.87108499134</v>
      </c>
      <c r="Y139">
        <f t="shared" si="17"/>
        <v>18791.159833838061</v>
      </c>
      <c r="Z139">
        <v>22.328383487555332</v>
      </c>
      <c r="AA139">
        <v>3.4249999999999998</v>
      </c>
      <c r="AB139">
        <v>3.4249999999999998</v>
      </c>
      <c r="AC139">
        <v>20428.240078388011</v>
      </c>
      <c r="AD139">
        <v>12.17989101680838</v>
      </c>
      <c r="AE139">
        <v>3.4249999999999998</v>
      </c>
      <c r="AF139">
        <v>3.4249999999999998</v>
      </c>
      <c r="AG139">
        <v>20650.422353564889</v>
      </c>
      <c r="AJ139">
        <v>3.4249999999999998</v>
      </c>
    </row>
    <row r="140" spans="1:37" x14ac:dyDescent="0.4">
      <c r="A140" t="s">
        <v>148</v>
      </c>
      <c r="B140">
        <v>-4.7141994271311276</v>
      </c>
      <c r="C140">
        <v>925.64725915237011</v>
      </c>
      <c r="D140" t="s">
        <v>171</v>
      </c>
      <c r="E140">
        <v>-4.582768052064397</v>
      </c>
      <c r="F140">
        <v>904.04317662665335</v>
      </c>
      <c r="G140">
        <v>0.1472205184675261</v>
      </c>
      <c r="H140">
        <v>926.34128603619172</v>
      </c>
      <c r="I140" t="s">
        <v>310</v>
      </c>
      <c r="J140" t="s">
        <v>471</v>
      </c>
      <c r="L140">
        <v>911.50665597932164</v>
      </c>
      <c r="M140">
        <v>-1.628596293620268</v>
      </c>
      <c r="N140">
        <v>1.375</v>
      </c>
      <c r="O140">
        <f t="shared" si="12"/>
        <v>3.0856031335108596</v>
      </c>
      <c r="P140">
        <f t="shared" si="13"/>
        <v>-0.4192038016599009</v>
      </c>
      <c r="Q140">
        <f t="shared" si="14"/>
        <v>-24.018608590951576</v>
      </c>
      <c r="R140">
        <v>1.375</v>
      </c>
      <c r="S140">
        <f t="shared" si="15"/>
        <v>0.9134133090558495</v>
      </c>
      <c r="T140">
        <v>46.636711151145199</v>
      </c>
      <c r="U140">
        <f t="shared" si="16"/>
        <v>51.057621657988847</v>
      </c>
      <c r="V140">
        <v>3.45</v>
      </c>
      <c r="W140">
        <v>3.45</v>
      </c>
      <c r="X140">
        <v>14473.825958761199</v>
      </c>
      <c r="Y140">
        <f t="shared" si="17"/>
        <v>15845.867161408107</v>
      </c>
      <c r="Z140">
        <v>20.70506310559319</v>
      </c>
      <c r="AA140">
        <v>3.45</v>
      </c>
      <c r="AB140">
        <v>3.45</v>
      </c>
      <c r="AC140">
        <v>17012.611325017071</v>
      </c>
      <c r="AD140">
        <v>10.61536593547045</v>
      </c>
      <c r="AE140">
        <v>3.45</v>
      </c>
      <c r="AF140">
        <v>3.45</v>
      </c>
      <c r="AG140">
        <v>13272.11986245729</v>
      </c>
      <c r="AH140">
        <v>5.3101507432070756</v>
      </c>
      <c r="AI140">
        <v>3.45</v>
      </c>
      <c r="AJ140">
        <v>3.45</v>
      </c>
      <c r="AK140">
        <v>11973.378674121621</v>
      </c>
    </row>
    <row r="141" spans="1:37" x14ac:dyDescent="0.4">
      <c r="A141" t="s">
        <v>149</v>
      </c>
      <c r="B141">
        <v>-5.3300193052089293</v>
      </c>
      <c r="C141">
        <v>925.83216257321226</v>
      </c>
      <c r="D141" t="s">
        <v>171</v>
      </c>
      <c r="E141">
        <v>-4.3036623587517271</v>
      </c>
      <c r="F141">
        <v>902.89355911796451</v>
      </c>
      <c r="G141">
        <v>0.1476925390916507</v>
      </c>
      <c r="H141">
        <v>926.61936665780604</v>
      </c>
      <c r="I141" t="s">
        <v>311</v>
      </c>
      <c r="J141" t="s">
        <v>472</v>
      </c>
      <c r="L141">
        <v>911.44856569977981</v>
      </c>
      <c r="M141">
        <v>-1.9878435387769231</v>
      </c>
      <c r="N141">
        <v>1.4</v>
      </c>
      <c r="O141">
        <f t="shared" si="12"/>
        <v>3.342175766432006</v>
      </c>
      <c r="P141">
        <f t="shared" si="13"/>
        <v>-0.39668304121538545</v>
      </c>
      <c r="Q141">
        <f t="shared" si="14"/>
        <v>-22.728264066055676</v>
      </c>
      <c r="R141">
        <v>1.4</v>
      </c>
      <c r="S141">
        <f t="shared" si="15"/>
        <v>0.92234760937456861</v>
      </c>
      <c r="T141">
        <v>44.491892895641087</v>
      </c>
      <c r="U141">
        <f t="shared" si="16"/>
        <v>48.237662724371816</v>
      </c>
      <c r="V141">
        <v>3.4750000000000001</v>
      </c>
      <c r="W141">
        <v>3.4750000000000001</v>
      </c>
      <c r="X141">
        <v>12595.624986966581</v>
      </c>
      <c r="Y141">
        <f t="shared" si="17"/>
        <v>13656.04990889227</v>
      </c>
      <c r="Z141">
        <v>19.549207918132311</v>
      </c>
      <c r="AA141">
        <v>3.4750000000000001</v>
      </c>
      <c r="AB141">
        <v>3.4750000000000001</v>
      </c>
      <c r="AC141">
        <v>12412.91200014417</v>
      </c>
      <c r="AD141">
        <v>11.06259802736669</v>
      </c>
      <c r="AE141">
        <v>3.4750000000000001</v>
      </c>
      <c r="AF141">
        <v>3.4750000000000001</v>
      </c>
      <c r="AG141">
        <v>14326.223913534761</v>
      </c>
      <c r="AH141">
        <v>6.1732696854316336</v>
      </c>
      <c r="AI141">
        <v>3.4750000000000001</v>
      </c>
      <c r="AJ141">
        <v>3.4750000000000001</v>
      </c>
      <c r="AK141">
        <v>13628.489394986451</v>
      </c>
    </row>
    <row r="142" spans="1:37" x14ac:dyDescent="0.4">
      <c r="A142" t="s">
        <v>150</v>
      </c>
      <c r="B142">
        <v>-4.6001769906758572</v>
      </c>
      <c r="C142">
        <v>926.23214344005271</v>
      </c>
      <c r="D142" t="s">
        <v>171</v>
      </c>
      <c r="E142">
        <v>-4.845642485119904</v>
      </c>
      <c r="F142">
        <v>903.94133037496272</v>
      </c>
      <c r="G142">
        <v>0.15453836657713521</v>
      </c>
      <c r="H142">
        <v>926.94304727815745</v>
      </c>
      <c r="I142" t="s">
        <v>312</v>
      </c>
      <c r="J142" t="s">
        <v>473</v>
      </c>
      <c r="L142">
        <v>911.51719203541518</v>
      </c>
      <c r="M142">
        <v>-1.5634382472776951</v>
      </c>
      <c r="N142">
        <v>1.425</v>
      </c>
      <c r="O142">
        <f t="shared" si="12"/>
        <v>3.0367387433981623</v>
      </c>
      <c r="P142">
        <f t="shared" si="13"/>
        <v>-0.43874920078792856</v>
      </c>
      <c r="Q142">
        <f t="shared" si="14"/>
        <v>-25.13847746988624</v>
      </c>
      <c r="R142">
        <v>1.425</v>
      </c>
      <c r="S142">
        <f t="shared" si="15"/>
        <v>0.90528372008704572</v>
      </c>
      <c r="T142">
        <v>41.047267179490987</v>
      </c>
      <c r="U142">
        <f t="shared" si="16"/>
        <v>45.341881521457353</v>
      </c>
      <c r="V142">
        <v>3.5</v>
      </c>
      <c r="W142">
        <v>3.5</v>
      </c>
      <c r="X142">
        <v>12988.58194520291</v>
      </c>
      <c r="Y142">
        <f t="shared" si="17"/>
        <v>14347.526258346963</v>
      </c>
      <c r="AB142">
        <v>3.5</v>
      </c>
      <c r="AF142">
        <v>3.5</v>
      </c>
      <c r="AH142">
        <v>5.5449965160005004</v>
      </c>
      <c r="AI142">
        <v>3.5</v>
      </c>
      <c r="AJ142">
        <v>3.5</v>
      </c>
      <c r="AK142">
        <v>10448.457024408341</v>
      </c>
    </row>
    <row r="143" spans="1:37" x14ac:dyDescent="0.4">
      <c r="A143" t="s">
        <v>151</v>
      </c>
      <c r="B143">
        <v>-4.8793253338412121</v>
      </c>
      <c r="C143">
        <v>926.56032640891817</v>
      </c>
      <c r="D143" t="s">
        <v>171</v>
      </c>
      <c r="E143">
        <v>-4.7352436629476156</v>
      </c>
      <c r="F143">
        <v>903.45553204238684</v>
      </c>
      <c r="G143">
        <v>0.13693719386971631</v>
      </c>
      <c r="H143">
        <v>927.22848752811183</v>
      </c>
      <c r="I143" t="s">
        <v>313</v>
      </c>
      <c r="J143" t="s">
        <v>474</v>
      </c>
      <c r="L143">
        <v>911.49545132727678</v>
      </c>
      <c r="M143">
        <v>-1.697889132487534</v>
      </c>
      <c r="N143">
        <v>1.45</v>
      </c>
      <c r="O143">
        <f t="shared" si="12"/>
        <v>3.1814362013536783</v>
      </c>
      <c r="P143">
        <f t="shared" si="13"/>
        <v>-0.42764106087510201</v>
      </c>
      <c r="Q143">
        <f t="shared" si="14"/>
        <v>-24.502027934640459</v>
      </c>
      <c r="R143">
        <v>1.45</v>
      </c>
      <c r="S143">
        <f t="shared" si="15"/>
        <v>0.90994659259733901</v>
      </c>
      <c r="T143">
        <v>37.118406603621111</v>
      </c>
      <c r="U143">
        <f t="shared" si="16"/>
        <v>40.791851857668746</v>
      </c>
      <c r="V143">
        <v>3.5249999999999999</v>
      </c>
      <c r="W143">
        <v>3.5249999999999999</v>
      </c>
      <c r="X143">
        <v>9286.0077761141165</v>
      </c>
      <c r="Y143">
        <f t="shared" si="17"/>
        <v>10205.003075629158</v>
      </c>
      <c r="Z143">
        <v>19.50378211307153</v>
      </c>
      <c r="AA143">
        <v>3.5249999999999999</v>
      </c>
      <c r="AB143">
        <v>3.5249999999999999</v>
      </c>
      <c r="AC143">
        <v>10706.731631383231</v>
      </c>
      <c r="AF143">
        <v>3.5249999999999999</v>
      </c>
      <c r="AH143">
        <v>2.886730084919821</v>
      </c>
      <c r="AI143">
        <v>3.5249999999999999</v>
      </c>
      <c r="AJ143">
        <v>3.5249999999999999</v>
      </c>
      <c r="AK143">
        <v>3233.8454473218371</v>
      </c>
    </row>
    <row r="144" spans="1:37" x14ac:dyDescent="0.4">
      <c r="A144" t="s">
        <v>152</v>
      </c>
      <c r="B144">
        <v>-4.6555660419568188</v>
      </c>
      <c r="C144">
        <v>926.75093970946455</v>
      </c>
      <c r="D144" t="s">
        <v>171</v>
      </c>
      <c r="E144">
        <v>-4.9473180619233714</v>
      </c>
      <c r="F144">
        <v>903.71837374161453</v>
      </c>
      <c r="G144">
        <v>0.15531519864707169</v>
      </c>
      <c r="H144">
        <v>927.47401987408568</v>
      </c>
      <c r="I144" t="s">
        <v>314</v>
      </c>
      <c r="J144" t="s">
        <v>475</v>
      </c>
      <c r="L144">
        <v>911.51516669853186</v>
      </c>
      <c r="M144">
        <v>-1.5759635217570069</v>
      </c>
      <c r="N144">
        <v>1.4750000000000001</v>
      </c>
      <c r="O144">
        <f t="shared" si="12"/>
        <v>3.0796025201998116</v>
      </c>
      <c r="P144">
        <f t="shared" si="13"/>
        <v>-0.44667268220316414</v>
      </c>
      <c r="Q144">
        <f t="shared" si="14"/>
        <v>-25.592459514029581</v>
      </c>
      <c r="R144">
        <v>1.4750000000000001</v>
      </c>
      <c r="S144">
        <f t="shared" si="15"/>
        <v>0.90188938380485384</v>
      </c>
      <c r="T144">
        <v>37.775601854443153</v>
      </c>
      <c r="U144">
        <f t="shared" si="16"/>
        <v>41.884961207855667</v>
      </c>
      <c r="V144">
        <v>3.55</v>
      </c>
      <c r="W144">
        <v>3.55</v>
      </c>
      <c r="X144">
        <v>7242.2544412383349</v>
      </c>
      <c r="Y144">
        <f t="shared" si="17"/>
        <v>8030.091684509036</v>
      </c>
      <c r="Z144">
        <v>17.606504982608829</v>
      </c>
      <c r="AA144">
        <v>3.55</v>
      </c>
      <c r="AB144">
        <v>3.55</v>
      </c>
      <c r="AC144">
        <v>8924.3559437216463</v>
      </c>
      <c r="AD144">
        <v>7.2889606892398691</v>
      </c>
      <c r="AE144">
        <v>3.55</v>
      </c>
      <c r="AF144">
        <v>3.55</v>
      </c>
      <c r="AG144">
        <v>3862.7019722507598</v>
      </c>
      <c r="AH144">
        <v>3.150112756729162</v>
      </c>
      <c r="AI144">
        <v>3.55</v>
      </c>
      <c r="AJ144">
        <v>3.55</v>
      </c>
      <c r="AK144">
        <v>2768.038586730419</v>
      </c>
    </row>
    <row r="145" spans="1:37" x14ac:dyDescent="0.4">
      <c r="A145" t="s">
        <v>153</v>
      </c>
      <c r="B145">
        <v>-5.8029440815297244</v>
      </c>
      <c r="C145">
        <v>926.96422136028684</v>
      </c>
      <c r="D145" t="s">
        <v>171</v>
      </c>
      <c r="E145">
        <v>-4.360473886866651</v>
      </c>
      <c r="F145">
        <v>901.66063522582908</v>
      </c>
      <c r="G145">
        <v>0.14834376950234951</v>
      </c>
      <c r="H145">
        <v>927.8250519595523</v>
      </c>
      <c r="I145" t="s">
        <v>315</v>
      </c>
      <c r="J145" t="s">
        <v>476</v>
      </c>
      <c r="L145">
        <v>911.4085180401064</v>
      </c>
      <c r="M145">
        <v>-2.235509956052117</v>
      </c>
      <c r="N145">
        <v>1.5</v>
      </c>
      <c r="O145">
        <f t="shared" si="12"/>
        <v>3.5674341254776074</v>
      </c>
      <c r="P145">
        <f t="shared" si="13"/>
        <v>-0.39802768027480928</v>
      </c>
      <c r="Q145">
        <f t="shared" si="14"/>
        <v>-22.8053062091291</v>
      </c>
      <c r="R145">
        <v>1.5</v>
      </c>
      <c r="S145">
        <f t="shared" si="15"/>
        <v>0.92182725949898681</v>
      </c>
      <c r="T145">
        <v>36.332424490135239</v>
      </c>
      <c r="U145">
        <f t="shared" si="16"/>
        <v>39.413484593503902</v>
      </c>
      <c r="V145">
        <v>3.5750000000000002</v>
      </c>
      <c r="W145">
        <v>3.5750000000000002</v>
      </c>
      <c r="X145">
        <v>5510.368325800152</v>
      </c>
      <c r="Y145">
        <f t="shared" si="17"/>
        <v>5977.6582532339489</v>
      </c>
      <c r="Z145">
        <v>15.132802277249811</v>
      </c>
      <c r="AA145">
        <v>3.5750000000000002</v>
      </c>
      <c r="AB145">
        <v>3.5750000000000002</v>
      </c>
      <c r="AC145">
        <v>4943.2071884595307</v>
      </c>
      <c r="AD145">
        <v>3.016238047504181</v>
      </c>
      <c r="AE145">
        <v>3.5750000000000002</v>
      </c>
      <c r="AF145">
        <v>3.5750000000000002</v>
      </c>
      <c r="AG145">
        <v>1859.2898906001531</v>
      </c>
      <c r="AH145">
        <v>0.9883864991985426</v>
      </c>
      <c r="AI145">
        <v>3.5750000000000002</v>
      </c>
      <c r="AJ145">
        <v>3.5750000000000002</v>
      </c>
      <c r="AK145">
        <v>922.25073634748651</v>
      </c>
    </row>
    <row r="146" spans="1:37" x14ac:dyDescent="0.4">
      <c r="A146" t="s">
        <v>154</v>
      </c>
      <c r="B146">
        <v>-2.9815515645681692</v>
      </c>
      <c r="C146">
        <v>927.68595006499686</v>
      </c>
      <c r="D146" t="s">
        <v>171</v>
      </c>
      <c r="E146">
        <v>-6.6713327748430133</v>
      </c>
      <c r="F146">
        <v>907.79502739240877</v>
      </c>
      <c r="G146">
        <v>0.14902291228796491</v>
      </c>
      <c r="H146">
        <v>928.13026956228555</v>
      </c>
      <c r="I146" t="s">
        <v>316</v>
      </c>
      <c r="J146" t="s">
        <v>477</v>
      </c>
      <c r="L146">
        <v>911.67593443144494</v>
      </c>
      <c r="M146">
        <v>-0.58172893354971034</v>
      </c>
      <c r="N146">
        <v>1.5249999999999999</v>
      </c>
      <c r="O146">
        <f t="shared" si="12"/>
        <v>2.3998226310184587</v>
      </c>
      <c r="P146">
        <f t="shared" si="13"/>
        <v>-0.56608836346495783</v>
      </c>
      <c r="Q146">
        <f t="shared" si="14"/>
        <v>-32.434474058009833</v>
      </c>
      <c r="R146">
        <v>1.5249999999999999</v>
      </c>
      <c r="S146">
        <f t="shared" si="15"/>
        <v>0.84400537330334657</v>
      </c>
      <c r="T146">
        <v>35.504273020296168</v>
      </c>
      <c r="U146">
        <f t="shared" si="16"/>
        <v>42.066406380016574</v>
      </c>
      <c r="V146">
        <v>3.625</v>
      </c>
      <c r="W146">
        <v>3.6</v>
      </c>
      <c r="X146">
        <v>3520.7441157586991</v>
      </c>
      <c r="Y146">
        <f t="shared" si="17"/>
        <v>4171.4712099271164</v>
      </c>
      <c r="Z146">
        <v>12.699889139213621</v>
      </c>
      <c r="AA146">
        <v>3.6</v>
      </c>
      <c r="AB146">
        <v>3.6</v>
      </c>
      <c r="AC146">
        <v>3858.074627616546</v>
      </c>
      <c r="AD146">
        <v>3.9540657330177251</v>
      </c>
      <c r="AE146">
        <v>3.6</v>
      </c>
      <c r="AF146">
        <v>3.6</v>
      </c>
      <c r="AG146">
        <v>698.89238124762289</v>
      </c>
      <c r="AH146">
        <v>1.302962454370622</v>
      </c>
      <c r="AI146">
        <v>3.6</v>
      </c>
      <c r="AJ146">
        <v>3.6</v>
      </c>
      <c r="AK146">
        <v>504.03873945533041</v>
      </c>
    </row>
    <row r="147" spans="1:37" x14ac:dyDescent="0.4">
      <c r="A147" t="s">
        <v>155</v>
      </c>
      <c r="B147">
        <v>7.7420055699857011</v>
      </c>
      <c r="C147">
        <v>929.55180875429471</v>
      </c>
      <c r="D147" t="s">
        <v>171</v>
      </c>
      <c r="E147">
        <v>6.7659319713725061</v>
      </c>
      <c r="F147">
        <v>877.16992574578444</v>
      </c>
      <c r="G147">
        <v>0.1428956395058206</v>
      </c>
      <c r="H147">
        <v>928.44550991731398</v>
      </c>
      <c r="I147" t="s">
        <v>317</v>
      </c>
      <c r="J147" t="s">
        <v>478</v>
      </c>
      <c r="L147">
        <v>912.61715860463414</v>
      </c>
      <c r="M147">
        <v>5.239076095449092</v>
      </c>
      <c r="N147">
        <v>1.55</v>
      </c>
      <c r="O147">
        <f t="shared" si="12"/>
        <v>-2.5029294745366091</v>
      </c>
      <c r="P147">
        <f t="shared" si="13"/>
        <v>-2.5871212654618048</v>
      </c>
      <c r="Q147">
        <f t="shared" si="14"/>
        <v>-148.23112959950609</v>
      </c>
      <c r="R147">
        <v>1.55</v>
      </c>
      <c r="S147">
        <f t="shared" si="15"/>
        <v>-0.85017886999716896</v>
      </c>
      <c r="T147">
        <v>40.744448312757093</v>
      </c>
      <c r="U147">
        <f t="shared" si="16"/>
        <v>-47.924560055100841</v>
      </c>
      <c r="V147">
        <v>3.65</v>
      </c>
      <c r="W147">
        <v>3.625</v>
      </c>
      <c r="X147">
        <v>1045.7033160955391</v>
      </c>
      <c r="Y147">
        <f t="shared" si="17"/>
        <v>-1229.9803641309284</v>
      </c>
      <c r="Z147">
        <v>4.4600007200230332</v>
      </c>
      <c r="AA147">
        <v>3.6749999999999998</v>
      </c>
      <c r="AB147">
        <v>3.625</v>
      </c>
      <c r="AC147">
        <v>543.85356437837038</v>
      </c>
      <c r="AD147">
        <v>3.997129314582708</v>
      </c>
      <c r="AE147">
        <v>3.625</v>
      </c>
      <c r="AF147">
        <v>3.625</v>
      </c>
      <c r="AG147">
        <v>275.70202135608412</v>
      </c>
      <c r="AH147">
        <v>4.7097675858971802E-4</v>
      </c>
      <c r="AI147">
        <v>3.625</v>
      </c>
      <c r="AJ147">
        <v>3.625</v>
      </c>
      <c r="AK147">
        <v>0</v>
      </c>
    </row>
    <row r="148" spans="1:37" x14ac:dyDescent="0.4">
      <c r="A148" t="s">
        <v>156</v>
      </c>
      <c r="B148">
        <v>-3.119589277678251</v>
      </c>
      <c r="C148">
        <v>928.27939331516598</v>
      </c>
      <c r="D148" t="s">
        <v>171</v>
      </c>
      <c r="E148">
        <v>-6.5073936990531509</v>
      </c>
      <c r="F148">
        <v>907.97899770596871</v>
      </c>
      <c r="G148">
        <v>0.1466154489012064</v>
      </c>
      <c r="H148">
        <v>928.73677329750012</v>
      </c>
      <c r="I148" t="s">
        <v>318</v>
      </c>
      <c r="J148" t="s">
        <v>479</v>
      </c>
      <c r="L148">
        <v>911.67808271357399</v>
      </c>
      <c r="M148">
        <v>-0.56844332978361611</v>
      </c>
      <c r="N148">
        <v>1.575</v>
      </c>
      <c r="O148">
        <f t="shared" si="12"/>
        <v>2.5511459478946348</v>
      </c>
      <c r="P148">
        <f t="shared" si="13"/>
        <v>-0.55309347305919943</v>
      </c>
      <c r="Q148">
        <f t="shared" si="14"/>
        <v>-31.68992168252483</v>
      </c>
      <c r="R148">
        <v>1.575</v>
      </c>
      <c r="S148">
        <f t="shared" si="15"/>
        <v>0.85090352663162538</v>
      </c>
      <c r="T148">
        <v>34.030956388512863</v>
      </c>
      <c r="U148">
        <f t="shared" si="16"/>
        <v>39.993906857134938</v>
      </c>
      <c r="V148">
        <v>3.6749999999999998</v>
      </c>
      <c r="W148">
        <v>3.65</v>
      </c>
      <c r="X148">
        <v>859.48713482694677</v>
      </c>
      <c r="Y148">
        <f t="shared" si="17"/>
        <v>1010.0876396990624</v>
      </c>
      <c r="Z148">
        <v>4.1091970806864486</v>
      </c>
      <c r="AA148">
        <v>3.7</v>
      </c>
      <c r="AB148">
        <v>3.65</v>
      </c>
      <c r="AC148">
        <v>576.64433464814022</v>
      </c>
      <c r="AD148">
        <v>1.8240904690347111</v>
      </c>
      <c r="AE148">
        <v>3.65</v>
      </c>
      <c r="AF148">
        <v>3.65</v>
      </c>
      <c r="AG148">
        <v>355.40157184087383</v>
      </c>
      <c r="AH148">
        <v>0.49997927060649461</v>
      </c>
      <c r="AI148">
        <v>3.65</v>
      </c>
      <c r="AJ148">
        <v>3.65</v>
      </c>
      <c r="AK148">
        <v>0</v>
      </c>
    </row>
    <row r="149" spans="1:37" x14ac:dyDescent="0.4">
      <c r="A149" t="s">
        <v>157</v>
      </c>
      <c r="B149">
        <v>-4.1963367322521989</v>
      </c>
      <c r="C149">
        <v>928.29811965038323</v>
      </c>
      <c r="D149" t="s">
        <v>171</v>
      </c>
      <c r="E149">
        <v>-12.10720352593912</v>
      </c>
      <c r="F149">
        <v>877.49221676963157</v>
      </c>
      <c r="G149">
        <v>0.1553680671396496</v>
      </c>
      <c r="H149">
        <v>928.95009637754038</v>
      </c>
      <c r="I149" t="s">
        <v>319</v>
      </c>
      <c r="J149" t="s">
        <v>480</v>
      </c>
      <c r="L149">
        <v>911.31823042782798</v>
      </c>
      <c r="M149">
        <v>-2.7938749052075069</v>
      </c>
      <c r="N149">
        <v>1.6</v>
      </c>
      <c r="O149">
        <f t="shared" si="12"/>
        <v>1.402461827044692</v>
      </c>
      <c r="P149">
        <f t="shared" si="13"/>
        <v>-0.85109554817200594</v>
      </c>
      <c r="Q149">
        <f t="shared" si="14"/>
        <v>-48.764182872629185</v>
      </c>
      <c r="R149">
        <v>1.6</v>
      </c>
      <c r="S149">
        <f t="shared" si="15"/>
        <v>0.65915968611075149</v>
      </c>
      <c r="T149">
        <v>24.62271090722767</v>
      </c>
      <c r="U149">
        <f t="shared" si="16"/>
        <v>37.354697846449582</v>
      </c>
      <c r="V149">
        <v>3.7</v>
      </c>
      <c r="W149">
        <v>3.6749999999999998</v>
      </c>
      <c r="X149">
        <v>658.21708490804679</v>
      </c>
      <c r="Y149">
        <f t="shared" si="17"/>
        <v>998.569995673937</v>
      </c>
      <c r="Z149">
        <v>0.51964517815019318</v>
      </c>
      <c r="AA149">
        <v>3.75</v>
      </c>
      <c r="AB149">
        <v>3.6749999999999998</v>
      </c>
      <c r="AC149">
        <v>0</v>
      </c>
      <c r="AD149">
        <v>1.8064820844784879E-5</v>
      </c>
      <c r="AE149">
        <v>3.6749999999999998</v>
      </c>
      <c r="AF149">
        <v>3.6749999999999998</v>
      </c>
      <c r="AG149">
        <v>0</v>
      </c>
      <c r="AH149">
        <v>1.9255787489289779E-3</v>
      </c>
      <c r="AI149">
        <v>3.7</v>
      </c>
      <c r="AJ149">
        <v>3.6749999999999998</v>
      </c>
      <c r="AK149">
        <v>0</v>
      </c>
    </row>
    <row r="150" spans="1:37" x14ac:dyDescent="0.4">
      <c r="A150" t="s">
        <v>158</v>
      </c>
      <c r="B150">
        <v>199.87759165218509</v>
      </c>
      <c r="C150">
        <v>961.84797151836278</v>
      </c>
      <c r="D150" t="s">
        <v>171</v>
      </c>
      <c r="E150">
        <v>0.39529419596099052</v>
      </c>
      <c r="F150">
        <v>882.83751963559314</v>
      </c>
      <c r="G150">
        <v>0.16302740773748639</v>
      </c>
      <c r="H150">
        <v>929.26244588649524</v>
      </c>
      <c r="I150" t="s">
        <v>320</v>
      </c>
      <c r="J150" t="s">
        <v>481</v>
      </c>
      <c r="L150">
        <v>931.79783468753476</v>
      </c>
      <c r="M150">
        <v>123.8579758041728</v>
      </c>
      <c r="N150">
        <v>1.625</v>
      </c>
      <c r="O150">
        <f t="shared" si="12"/>
        <v>-76.019615848012293</v>
      </c>
      <c r="P150">
        <f t="shared" si="13"/>
        <v>-3.1202198468121933</v>
      </c>
      <c r="Q150">
        <f t="shared" si="14"/>
        <v>-178.77542837529495</v>
      </c>
      <c r="R150">
        <v>1.625</v>
      </c>
      <c r="S150">
        <f t="shared" si="15"/>
        <v>-0.99977161025939876</v>
      </c>
      <c r="T150">
        <v>17.08497532557638</v>
      </c>
      <c r="U150">
        <f t="shared" si="16"/>
        <v>-17.088878250047074</v>
      </c>
      <c r="V150">
        <v>3.7250000000000001</v>
      </c>
      <c r="W150">
        <v>3.7</v>
      </c>
      <c r="X150">
        <v>520.46904172463462</v>
      </c>
      <c r="Y150">
        <f t="shared" si="17"/>
        <v>-520.58793866890733</v>
      </c>
      <c r="Z150">
        <v>0.50020028352127033</v>
      </c>
      <c r="AA150">
        <v>3.7749999999999999</v>
      </c>
      <c r="AB150">
        <v>3.7</v>
      </c>
      <c r="AC150">
        <v>0</v>
      </c>
      <c r="AD150">
        <v>8.9561263815452613E-4</v>
      </c>
      <c r="AE150">
        <v>3.7</v>
      </c>
      <c r="AF150">
        <v>3.7</v>
      </c>
      <c r="AG150">
        <v>0</v>
      </c>
      <c r="AH150">
        <v>253.72499999999999</v>
      </c>
      <c r="AI150">
        <v>3.7250000000000001</v>
      </c>
      <c r="AJ150">
        <v>3.7</v>
      </c>
      <c r="AK150">
        <v>0</v>
      </c>
    </row>
    <row r="151" spans="1:37" x14ac:dyDescent="0.4">
      <c r="A151" t="s">
        <v>159</v>
      </c>
      <c r="B151">
        <v>3.6875957044165109</v>
      </c>
      <c r="C151">
        <v>930.18044055523035</v>
      </c>
      <c r="D151" t="s">
        <v>171</v>
      </c>
      <c r="E151">
        <v>12.78344230365879</v>
      </c>
      <c r="F151">
        <v>883.04027362860188</v>
      </c>
      <c r="G151">
        <v>0.15174494828763421</v>
      </c>
      <c r="H151">
        <v>929.62086653575795</v>
      </c>
      <c r="I151" t="s">
        <v>321</v>
      </c>
      <c r="J151" t="s">
        <v>482</v>
      </c>
      <c r="L151">
        <v>912.13806303711488</v>
      </c>
      <c r="M151">
        <v>2.2762092585952098</v>
      </c>
      <c r="N151">
        <v>1.65</v>
      </c>
      <c r="O151">
        <f t="shared" si="12"/>
        <v>-1.411386445821301</v>
      </c>
      <c r="P151">
        <f t="shared" si="13"/>
        <v>-2.2784087838950766</v>
      </c>
      <c r="Q151">
        <f t="shared" si="14"/>
        <v>-130.54320732272234</v>
      </c>
      <c r="R151">
        <v>1.65</v>
      </c>
      <c r="S151">
        <f t="shared" si="15"/>
        <v>-0.65002129338616732</v>
      </c>
      <c r="T151">
        <v>3.683135453317997</v>
      </c>
      <c r="U151">
        <f t="shared" si="16"/>
        <v>-5.6661766172787589</v>
      </c>
      <c r="V151">
        <v>3.75</v>
      </c>
      <c r="W151">
        <v>3.7250000000000001</v>
      </c>
      <c r="X151">
        <v>963.67851403967177</v>
      </c>
      <c r="Y151">
        <f t="shared" si="17"/>
        <v>-1482.5337628857731</v>
      </c>
      <c r="Z151">
        <v>0.19432214731104269</v>
      </c>
      <c r="AA151">
        <v>3.8</v>
      </c>
      <c r="AB151">
        <v>3.7250000000000001</v>
      </c>
      <c r="AC151">
        <v>0</v>
      </c>
      <c r="AD151">
        <v>10.97691828639125</v>
      </c>
      <c r="AE151">
        <v>3.7250000000000001</v>
      </c>
      <c r="AF151">
        <v>3.7250000000000001</v>
      </c>
      <c r="AG151">
        <v>0</v>
      </c>
      <c r="AH151">
        <v>202.2229984664223</v>
      </c>
      <c r="AI151">
        <v>3.7749999999999999</v>
      </c>
      <c r="AJ151">
        <v>3.7250000000000001</v>
      </c>
      <c r="AK151">
        <v>0</v>
      </c>
    </row>
    <row r="152" spans="1:37" x14ac:dyDescent="0.4">
      <c r="A152" t="s">
        <v>160</v>
      </c>
      <c r="B152">
        <v>-19.176439073047121</v>
      </c>
      <c r="C152">
        <v>927.11963313150454</v>
      </c>
      <c r="D152" t="s">
        <v>171</v>
      </c>
      <c r="E152">
        <v>-1.5111658270578521</v>
      </c>
      <c r="F152">
        <v>898.14085371965882</v>
      </c>
      <c r="G152">
        <v>0.1486389710332342</v>
      </c>
      <c r="H152">
        <v>929.96999930340382</v>
      </c>
      <c r="I152" t="s">
        <v>322</v>
      </c>
      <c r="J152" t="s">
        <v>483</v>
      </c>
      <c r="L152">
        <v>910.45260045442967</v>
      </c>
      <c r="M152">
        <v>-8.1471833368602091</v>
      </c>
      <c r="N152">
        <v>1.675</v>
      </c>
      <c r="O152">
        <f t="shared" si="12"/>
        <v>11.029255736186911</v>
      </c>
      <c r="P152">
        <f t="shared" si="13"/>
        <v>-0.15071713666607423</v>
      </c>
      <c r="Q152">
        <f t="shared" si="14"/>
        <v>-8.6354558312624849</v>
      </c>
      <c r="R152">
        <v>1.675</v>
      </c>
      <c r="S152">
        <f t="shared" si="15"/>
        <v>0.98866365612606666</v>
      </c>
      <c r="T152">
        <v>4.9539482604564888</v>
      </c>
      <c r="U152">
        <f t="shared" si="16"/>
        <v>5.0107518666841742</v>
      </c>
      <c r="V152">
        <v>3.7749999999999999</v>
      </c>
      <c r="W152">
        <v>3.75</v>
      </c>
      <c r="X152">
        <v>1817.7809802806489</v>
      </c>
      <c r="Y152">
        <f t="shared" si="17"/>
        <v>1838.6242571142513</v>
      </c>
      <c r="Z152">
        <v>1.4260650930134771</v>
      </c>
      <c r="AA152">
        <v>3.85</v>
      </c>
      <c r="AB152">
        <v>3.75</v>
      </c>
      <c r="AC152">
        <v>0</v>
      </c>
      <c r="AD152">
        <v>1.109148327071938</v>
      </c>
      <c r="AE152">
        <v>3.7749999999999999</v>
      </c>
      <c r="AF152">
        <v>3.75</v>
      </c>
      <c r="AG152">
        <v>0</v>
      </c>
      <c r="AH152">
        <v>253.72499999999999</v>
      </c>
      <c r="AI152">
        <v>3.8</v>
      </c>
      <c r="AJ152">
        <v>3.75</v>
      </c>
      <c r="AK152">
        <v>0</v>
      </c>
    </row>
    <row r="153" spans="1:37" x14ac:dyDescent="0.4">
      <c r="A153" t="s">
        <v>161</v>
      </c>
      <c r="B153">
        <v>0.44649644116737153</v>
      </c>
      <c r="C153">
        <v>930.42080563050513</v>
      </c>
      <c r="D153" t="s">
        <v>171</v>
      </c>
      <c r="E153">
        <v>-33.030128954343319</v>
      </c>
      <c r="F153">
        <v>945.16864065991876</v>
      </c>
      <c r="G153">
        <v>0.13394363487529509</v>
      </c>
      <c r="H153">
        <v>930.36100027421628</v>
      </c>
      <c r="I153" t="s">
        <v>323</v>
      </c>
      <c r="J153" t="s">
        <v>484</v>
      </c>
      <c r="L153">
        <v>911.93270752207422</v>
      </c>
      <c r="M153">
        <v>1.0062308106010061</v>
      </c>
      <c r="N153">
        <v>1.7</v>
      </c>
      <c r="O153">
        <f t="shared" si="12"/>
        <v>0.55973436943363453</v>
      </c>
      <c r="P153">
        <f t="shared" si="13"/>
        <v>-1.252720290801602</v>
      </c>
      <c r="Q153">
        <f t="shared" si="14"/>
        <v>-71.775585573332947</v>
      </c>
      <c r="R153">
        <v>1.7</v>
      </c>
      <c r="S153">
        <f t="shared" si="15"/>
        <v>0.31273968475904179</v>
      </c>
      <c r="T153">
        <v>2.5599267012651161</v>
      </c>
      <c r="U153">
        <f t="shared" si="16"/>
        <v>8.1854872471252769</v>
      </c>
      <c r="V153">
        <v>3.8</v>
      </c>
      <c r="W153">
        <v>3.7749999999999999</v>
      </c>
      <c r="X153">
        <v>850.96373843676577</v>
      </c>
      <c r="Y153">
        <f t="shared" si="17"/>
        <v>2720.9969821783643</v>
      </c>
      <c r="Z153">
        <v>0.61288131279217117</v>
      </c>
      <c r="AA153">
        <v>3.875</v>
      </c>
      <c r="AB153">
        <v>3.7749999999999999</v>
      </c>
      <c r="AC153">
        <v>0</v>
      </c>
      <c r="AD153">
        <v>57.874467060227722</v>
      </c>
      <c r="AE153">
        <v>3.8</v>
      </c>
      <c r="AF153">
        <v>3.7749999999999999</v>
      </c>
      <c r="AG153">
        <v>0</v>
      </c>
      <c r="AH153">
        <v>162.17800926541591</v>
      </c>
      <c r="AI153">
        <v>3.8250000000000002</v>
      </c>
      <c r="AJ153">
        <v>3.7749999999999999</v>
      </c>
      <c r="AK153">
        <v>0</v>
      </c>
    </row>
    <row r="154" spans="1:37" x14ac:dyDescent="0.4">
      <c r="A154" t="s">
        <v>162</v>
      </c>
      <c r="B154">
        <v>-647.49456859343184</v>
      </c>
      <c r="C154">
        <v>835.80790193928988</v>
      </c>
      <c r="D154" t="s">
        <v>171</v>
      </c>
      <c r="E154">
        <v>0.10952123391340229</v>
      </c>
      <c r="F154">
        <v>906.72230604386868</v>
      </c>
      <c r="G154">
        <v>0.14614386315952591</v>
      </c>
      <c r="H154">
        <v>930.43525956834469</v>
      </c>
      <c r="I154" t="s">
        <v>324</v>
      </c>
      <c r="J154" t="s">
        <v>485</v>
      </c>
      <c r="L154">
        <v>896.12745951819704</v>
      </c>
      <c r="M154">
        <v>-96.738036374786347</v>
      </c>
      <c r="N154">
        <v>1.7250000000000001</v>
      </c>
      <c r="O154">
        <f t="shared" si="12"/>
        <v>550.75653221864548</v>
      </c>
      <c r="P154">
        <f t="shared" si="13"/>
        <v>-3.1320452114580455E-3</v>
      </c>
      <c r="Q154">
        <f t="shared" si="14"/>
        <v>-0.17945297186070547</v>
      </c>
      <c r="R154">
        <v>1.7250000000000001</v>
      </c>
      <c r="S154">
        <f t="shared" si="15"/>
        <v>0.9999950951504063</v>
      </c>
      <c r="T154">
        <v>1.7767875535584949</v>
      </c>
      <c r="U154">
        <f t="shared" si="16"/>
        <v>1.7767962684769505</v>
      </c>
      <c r="V154">
        <v>3.8250000000000002</v>
      </c>
      <c r="W154">
        <v>3.8</v>
      </c>
      <c r="X154">
        <v>292.93872082345172</v>
      </c>
      <c r="Y154">
        <f t="shared" si="17"/>
        <v>292.94015765086493</v>
      </c>
      <c r="Z154">
        <v>1.540614648093477</v>
      </c>
      <c r="AA154">
        <v>3.9</v>
      </c>
      <c r="AB154">
        <v>3.8</v>
      </c>
      <c r="AC154">
        <v>0</v>
      </c>
      <c r="AD154">
        <v>1.2749999999999491</v>
      </c>
      <c r="AE154">
        <v>3.8250000000000002</v>
      </c>
      <c r="AF154">
        <v>3.8</v>
      </c>
      <c r="AG154">
        <v>0</v>
      </c>
      <c r="AH154">
        <v>253.72500002049051</v>
      </c>
      <c r="AI154">
        <v>3.85</v>
      </c>
      <c r="AJ154">
        <v>3.8</v>
      </c>
      <c r="AK154">
        <v>0</v>
      </c>
    </row>
    <row r="155" spans="1:37" x14ac:dyDescent="0.4">
      <c r="A155" t="s">
        <v>163</v>
      </c>
      <c r="B155">
        <v>2.7761054195895589</v>
      </c>
      <c r="C155">
        <v>931.20446098848674</v>
      </c>
      <c r="D155" t="s">
        <v>171</v>
      </c>
      <c r="E155">
        <v>20.185523760961189</v>
      </c>
      <c r="F155">
        <v>875.16731907842859</v>
      </c>
      <c r="G155">
        <v>0.15670364293615249</v>
      </c>
      <c r="H155">
        <v>930.76943515606229</v>
      </c>
      <c r="I155" t="s">
        <v>325</v>
      </c>
      <c r="J155" t="s">
        <v>486</v>
      </c>
      <c r="L155">
        <v>912.06558058029771</v>
      </c>
      <c r="M155">
        <v>1.827956588112239</v>
      </c>
      <c r="N155">
        <v>1.75</v>
      </c>
      <c r="O155">
        <f t="shared" si="12"/>
        <v>-0.94814883147731988</v>
      </c>
      <c r="P155">
        <f t="shared" si="13"/>
        <v>-2.0673216454930534</v>
      </c>
      <c r="Q155">
        <f t="shared" si="14"/>
        <v>-118.44880518279253</v>
      </c>
      <c r="R155">
        <v>1.75</v>
      </c>
      <c r="S155">
        <f t="shared" si="15"/>
        <v>-0.47637333087385314</v>
      </c>
      <c r="T155">
        <v>0.27116166236090161</v>
      </c>
      <c r="U155">
        <f t="shared" si="16"/>
        <v>-0.56922091306724942</v>
      </c>
      <c r="V155">
        <v>3.85</v>
      </c>
      <c r="W155">
        <v>3.8250000000000002</v>
      </c>
      <c r="X155">
        <v>0</v>
      </c>
      <c r="Y155">
        <f t="shared" si="17"/>
        <v>0</v>
      </c>
      <c r="Z155">
        <v>3.855015348664597E-3</v>
      </c>
      <c r="AA155">
        <v>3.9249999999999998</v>
      </c>
      <c r="AB155">
        <v>3.8250000000000002</v>
      </c>
      <c r="AC155">
        <v>0</v>
      </c>
      <c r="AD155">
        <v>1.232881819711652</v>
      </c>
      <c r="AE155">
        <v>3.85</v>
      </c>
      <c r="AF155">
        <v>3.8250000000000002</v>
      </c>
      <c r="AG155">
        <v>0</v>
      </c>
      <c r="AH155">
        <v>154.1396559473705</v>
      </c>
      <c r="AI155">
        <v>3.875</v>
      </c>
      <c r="AJ155">
        <v>3.8250000000000002</v>
      </c>
      <c r="AK155">
        <v>0</v>
      </c>
    </row>
    <row r="156" spans="1:37" x14ac:dyDescent="0.4">
      <c r="A156" t="s">
        <v>164</v>
      </c>
      <c r="B156">
        <v>-84.679553713884005</v>
      </c>
      <c r="C156">
        <v>919.33805995981731</v>
      </c>
      <c r="D156" t="s">
        <v>171</v>
      </c>
      <c r="E156">
        <v>-0.16314208864985019</v>
      </c>
      <c r="F156">
        <v>905.52326070099707</v>
      </c>
      <c r="G156">
        <v>0.1393731933292218</v>
      </c>
      <c r="H156">
        <v>931.14011977061466</v>
      </c>
      <c r="I156" t="s">
        <v>326</v>
      </c>
      <c r="J156" t="s">
        <v>487</v>
      </c>
      <c r="L156">
        <v>908.66049539068229</v>
      </c>
      <c r="M156">
        <v>-19.230084163993372</v>
      </c>
      <c r="N156">
        <v>1.7749999999999999</v>
      </c>
      <c r="O156">
        <f t="shared" si="12"/>
        <v>65.449469549890637</v>
      </c>
      <c r="P156">
        <f t="shared" si="13"/>
        <v>-2.711351263093742E-2</v>
      </c>
      <c r="Q156">
        <f t="shared" si="14"/>
        <v>-1.553489841527363</v>
      </c>
      <c r="R156">
        <v>1.7749999999999999</v>
      </c>
      <c r="S156">
        <f t="shared" si="15"/>
        <v>0.99963245123396227</v>
      </c>
      <c r="T156">
        <v>0.91792266685722457</v>
      </c>
      <c r="U156">
        <f t="shared" si="16"/>
        <v>0.91826017225043677</v>
      </c>
      <c r="V156">
        <v>3.875</v>
      </c>
      <c r="W156">
        <v>3.85</v>
      </c>
      <c r="X156">
        <v>0</v>
      </c>
      <c r="Y156">
        <f t="shared" si="17"/>
        <v>0</v>
      </c>
      <c r="Z156">
        <v>9.6334812039591267E-3</v>
      </c>
      <c r="AA156">
        <v>3.95</v>
      </c>
      <c r="AB156">
        <v>3.85</v>
      </c>
      <c r="AC156">
        <v>0</v>
      </c>
      <c r="AD156">
        <v>118.37714745929981</v>
      </c>
      <c r="AE156">
        <v>3.875</v>
      </c>
      <c r="AF156">
        <v>3.85</v>
      </c>
      <c r="AG156">
        <v>0</v>
      </c>
      <c r="AH156">
        <v>55.743061077938592</v>
      </c>
      <c r="AI156">
        <v>3.9</v>
      </c>
      <c r="AJ156">
        <v>3.85</v>
      </c>
      <c r="AK156">
        <v>0</v>
      </c>
    </row>
    <row r="157" spans="1:37" x14ac:dyDescent="0.4">
      <c r="A157" t="s">
        <v>165</v>
      </c>
      <c r="B157">
        <v>196.34506509058781</v>
      </c>
      <c r="C157">
        <v>956.9352519974409</v>
      </c>
      <c r="D157" t="s">
        <v>171</v>
      </c>
      <c r="E157">
        <v>0.25895853800841512</v>
      </c>
      <c r="F157">
        <v>906.09002099641521</v>
      </c>
      <c r="G157">
        <v>0.12990327550874911</v>
      </c>
      <c r="H157">
        <v>931.42938491219502</v>
      </c>
      <c r="I157" t="s">
        <v>327</v>
      </c>
      <c r="J157" t="s">
        <v>488</v>
      </c>
      <c r="L157">
        <v>921.21336878129534</v>
      </c>
      <c r="M157">
        <v>58.400549049445338</v>
      </c>
      <c r="N157">
        <v>1.8</v>
      </c>
      <c r="O157">
        <f t="shared" si="12"/>
        <v>-137.94451604114246</v>
      </c>
      <c r="P157">
        <f t="shared" si="13"/>
        <v>-3.1285446695121175</v>
      </c>
      <c r="Q157">
        <f t="shared" si="14"/>
        <v>-179.25240558119529</v>
      </c>
      <c r="R157">
        <v>1.8</v>
      </c>
      <c r="S157">
        <f t="shared" si="15"/>
        <v>-0.99991487626345688</v>
      </c>
      <c r="T157">
        <v>0.53607423094219475</v>
      </c>
      <c r="U157">
        <f t="shared" si="16"/>
        <v>-0.53611986746854867</v>
      </c>
      <c r="V157">
        <v>3.9249999999999998</v>
      </c>
      <c r="W157">
        <v>3.875</v>
      </c>
      <c r="X157">
        <v>0</v>
      </c>
      <c r="Y157">
        <f t="shared" si="17"/>
        <v>0</v>
      </c>
      <c r="Z157">
        <v>71.414208307904261</v>
      </c>
      <c r="AA157">
        <v>4</v>
      </c>
      <c r="AB157">
        <v>3.875</v>
      </c>
      <c r="AC157">
        <v>0</v>
      </c>
      <c r="AD157">
        <v>102.89841617668</v>
      </c>
      <c r="AE157">
        <v>3.9</v>
      </c>
      <c r="AF157">
        <v>3.875</v>
      </c>
      <c r="AG157">
        <v>0</v>
      </c>
      <c r="AH157">
        <v>5.3349423640546064E-3</v>
      </c>
      <c r="AI157">
        <v>3.9249999999999998</v>
      </c>
      <c r="AJ157">
        <v>3.875</v>
      </c>
      <c r="AK157">
        <v>0</v>
      </c>
    </row>
    <row r="158" spans="1:37" x14ac:dyDescent="0.4">
      <c r="A158" t="s">
        <v>166</v>
      </c>
      <c r="B158">
        <v>4.426330041073097</v>
      </c>
      <c r="C158">
        <v>932.23837791627966</v>
      </c>
      <c r="D158" t="s">
        <v>171</v>
      </c>
      <c r="E158">
        <v>6.81461577115852</v>
      </c>
      <c r="F158">
        <v>902.07463941003016</v>
      </c>
      <c r="G158">
        <v>0.14756644791037241</v>
      </c>
      <c r="H158">
        <v>931.58520011483949</v>
      </c>
      <c r="I158" t="s">
        <v>328</v>
      </c>
      <c r="J158" t="s">
        <v>489</v>
      </c>
      <c r="L158">
        <v>912.00564702661211</v>
      </c>
      <c r="M158">
        <v>1.457309997601042</v>
      </c>
      <c r="N158">
        <v>1.825</v>
      </c>
      <c r="O158">
        <f t="shared" si="12"/>
        <v>-2.9690200434720548</v>
      </c>
      <c r="P158">
        <f t="shared" si="13"/>
        <v>-2.5904482301601162</v>
      </c>
      <c r="Q158">
        <f t="shared" si="14"/>
        <v>-148.42175063530834</v>
      </c>
      <c r="R158">
        <v>1.825</v>
      </c>
      <c r="S158">
        <f t="shared" si="15"/>
        <v>-0.85192578840114885</v>
      </c>
      <c r="T158">
        <v>0.58307644298689265</v>
      </c>
      <c r="U158">
        <f t="shared" si="16"/>
        <v>-0.68442163733672268</v>
      </c>
      <c r="V158">
        <v>3.95</v>
      </c>
      <c r="W158">
        <v>3.9</v>
      </c>
      <c r="X158">
        <v>0</v>
      </c>
      <c r="Y158">
        <f t="shared" si="17"/>
        <v>0</v>
      </c>
      <c r="AB158">
        <v>3.9</v>
      </c>
      <c r="AD158">
        <v>1.833178640017511E-5</v>
      </c>
      <c r="AE158">
        <v>3.9249999999999998</v>
      </c>
      <c r="AF158">
        <v>3.9</v>
      </c>
      <c r="AG158">
        <v>0</v>
      </c>
      <c r="AH158">
        <v>9.8240095364673097E-3</v>
      </c>
      <c r="AI158">
        <v>3.95</v>
      </c>
      <c r="AJ158">
        <v>3.9</v>
      </c>
      <c r="AK158">
        <v>0</v>
      </c>
    </row>
    <row r="159" spans="1:37" x14ac:dyDescent="0.4">
      <c r="A159" t="s">
        <v>167</v>
      </c>
      <c r="B159">
        <v>0.51879481465361665</v>
      </c>
      <c r="C159">
        <v>931.97090186692697</v>
      </c>
      <c r="D159" t="s">
        <v>171</v>
      </c>
      <c r="E159">
        <v>-22.16244588149711</v>
      </c>
      <c r="F159">
        <v>943.46866387028911</v>
      </c>
      <c r="G159">
        <v>0.14222338147495231</v>
      </c>
      <c r="H159">
        <v>931.89711711409529</v>
      </c>
      <c r="I159" t="s">
        <v>329</v>
      </c>
      <c r="J159" t="s">
        <v>490</v>
      </c>
      <c r="L159">
        <v>911.99960224184167</v>
      </c>
      <c r="M159">
        <v>1.4199272841164901</v>
      </c>
      <c r="N159">
        <v>1.85</v>
      </c>
      <c r="O159">
        <f t="shared" si="12"/>
        <v>0.9011324694628734</v>
      </c>
      <c r="P159">
        <f t="shared" si="13"/>
        <v>-1.1175229786698326</v>
      </c>
      <c r="Q159">
        <f t="shared" si="14"/>
        <v>-64.029350186669731</v>
      </c>
      <c r="R159">
        <v>1.85</v>
      </c>
      <c r="S159">
        <f t="shared" si="15"/>
        <v>0.43791067539783018</v>
      </c>
      <c r="T159">
        <v>0.50046104519381118</v>
      </c>
      <c r="U159">
        <f t="shared" si="16"/>
        <v>1.1428381935177891</v>
      </c>
      <c r="V159">
        <v>4</v>
      </c>
      <c r="W159">
        <v>3.9249999999999998</v>
      </c>
      <c r="X159">
        <v>0</v>
      </c>
      <c r="Y159">
        <f t="shared" si="17"/>
        <v>0</v>
      </c>
      <c r="AB159">
        <v>3.9249999999999998</v>
      </c>
      <c r="AD159">
        <v>2.0283600864447831E-3</v>
      </c>
      <c r="AE159">
        <v>3.95</v>
      </c>
      <c r="AF159">
        <v>3.9249999999999998</v>
      </c>
      <c r="AG159">
        <v>1.6944917070647741E-2</v>
      </c>
      <c r="AH159">
        <v>22.20928803792853</v>
      </c>
      <c r="AI159">
        <v>3.9750000000000001</v>
      </c>
      <c r="AJ159">
        <v>3.9249999999999998</v>
      </c>
      <c r="AK159">
        <v>0</v>
      </c>
    </row>
    <row r="160" spans="1:37" x14ac:dyDescent="0.4">
      <c r="A160" t="s">
        <v>168</v>
      </c>
      <c r="B160">
        <v>-138.2609660651483</v>
      </c>
      <c r="C160">
        <v>911.08343070011244</v>
      </c>
      <c r="D160" t="s">
        <v>171</v>
      </c>
      <c r="E160">
        <v>-5.9394435691779122E-2</v>
      </c>
      <c r="F160">
        <v>902.87149864247272</v>
      </c>
      <c r="G160">
        <v>0.15197207827152029</v>
      </c>
      <c r="H160">
        <v>932.09523705686115</v>
      </c>
      <c r="I160" t="s">
        <v>330</v>
      </c>
      <c r="J160" t="s">
        <v>491</v>
      </c>
      <c r="L160">
        <v>905.26196445086703</v>
      </c>
      <c r="M160">
        <v>-40.247591522158039</v>
      </c>
      <c r="N160">
        <v>1.875</v>
      </c>
      <c r="O160">
        <f t="shared" si="12"/>
        <v>98.013374542990249</v>
      </c>
      <c r="P160">
        <f t="shared" si="13"/>
        <v>-1.912770920169593E-2</v>
      </c>
      <c r="Q160">
        <f t="shared" si="14"/>
        <v>-1.0959370090107259</v>
      </c>
      <c r="R160">
        <v>1.875</v>
      </c>
      <c r="S160">
        <f t="shared" si="15"/>
        <v>0.99981707094779282</v>
      </c>
      <c r="W160">
        <v>3.95</v>
      </c>
      <c r="AB160">
        <v>3.95</v>
      </c>
      <c r="AD160">
        <v>5.8388883047474271E-8</v>
      </c>
      <c r="AE160">
        <v>3.9750000000000001</v>
      </c>
      <c r="AF160">
        <v>3.95</v>
      </c>
      <c r="AG160">
        <v>4.9798337966438161E-14</v>
      </c>
      <c r="AH160">
        <v>83.778439076246286</v>
      </c>
      <c r="AI160">
        <v>4</v>
      </c>
      <c r="AJ160">
        <v>3.95</v>
      </c>
      <c r="AK160">
        <v>0</v>
      </c>
    </row>
    <row r="161" spans="1:36" x14ac:dyDescent="0.4">
      <c r="A161" t="s">
        <v>169</v>
      </c>
      <c r="B161">
        <v>0.72370858862724563</v>
      </c>
      <c r="C161">
        <v>932.49259607584861</v>
      </c>
      <c r="D161" t="s">
        <v>171</v>
      </c>
      <c r="E161">
        <v>17.085148063368059</v>
      </c>
      <c r="F161">
        <v>920.12792768442102</v>
      </c>
      <c r="G161">
        <v>0.14897759642890329</v>
      </c>
      <c r="H161">
        <v>932.3847797098</v>
      </c>
      <c r="I161" t="s">
        <v>331</v>
      </c>
      <c r="J161" t="s">
        <v>492</v>
      </c>
      <c r="L161">
        <v>911.69014174903361</v>
      </c>
      <c r="M161">
        <v>-0.49386673448578661</v>
      </c>
      <c r="N161">
        <v>1.9</v>
      </c>
      <c r="O161">
        <f t="shared" si="12"/>
        <v>-1.2175753231130322</v>
      </c>
      <c r="P161">
        <f t="shared" si="13"/>
        <v>-2.1406974898973696</v>
      </c>
      <c r="Q161">
        <f t="shared" si="14"/>
        <v>-122.65293138536846</v>
      </c>
      <c r="R161">
        <v>1.9</v>
      </c>
      <c r="S161">
        <f t="shared" si="15"/>
        <v>-0.53954883521793418</v>
      </c>
      <c r="W161">
        <v>3.9750000000000001</v>
      </c>
      <c r="AB161">
        <v>3.9750000000000001</v>
      </c>
      <c r="AD161">
        <v>91.119571734419878</v>
      </c>
      <c r="AE161">
        <v>4</v>
      </c>
      <c r="AF161">
        <v>3.9750000000000001</v>
      </c>
      <c r="AG161">
        <v>0</v>
      </c>
      <c r="AJ161">
        <v>3.9750000000000001</v>
      </c>
    </row>
    <row r="162" spans="1:36" x14ac:dyDescent="0.4">
      <c r="A162" t="s">
        <v>170</v>
      </c>
      <c r="B162">
        <v>-18.53878097337067</v>
      </c>
      <c r="C162">
        <v>930.36939682133993</v>
      </c>
      <c r="D162" t="s">
        <v>171</v>
      </c>
      <c r="E162">
        <v>-12.61874540812814</v>
      </c>
      <c r="F162">
        <v>696.43323954132541</v>
      </c>
      <c r="G162">
        <v>0.13013614706998919</v>
      </c>
      <c r="H162">
        <v>932.78196234858876</v>
      </c>
      <c r="I162" t="s">
        <v>332</v>
      </c>
      <c r="J162" t="s">
        <v>493</v>
      </c>
      <c r="L162">
        <v>909.04552881828454</v>
      </c>
      <c r="M162">
        <v>-16.848925056991369</v>
      </c>
      <c r="N162">
        <v>1.925</v>
      </c>
      <c r="O162">
        <f t="shared" si="12"/>
        <v>1.689855916379301</v>
      </c>
      <c r="P162">
        <f t="shared" si="13"/>
        <v>-0.8503560107107111</v>
      </c>
      <c r="Q162">
        <f t="shared" si="14"/>
        <v>-48.721810497305171</v>
      </c>
      <c r="R162">
        <v>1.925</v>
      </c>
      <c r="S162">
        <f t="shared" si="15"/>
        <v>0.65971564019532658</v>
      </c>
      <c r="W162">
        <v>4</v>
      </c>
      <c r="AB162">
        <v>4</v>
      </c>
      <c r="AF162">
        <v>4</v>
      </c>
      <c r="AJ162">
        <v>4</v>
      </c>
    </row>
    <row r="163" spans="1:36" x14ac:dyDescent="0.4">
      <c r="B163">
        <f>AVERAGE(B25:B145)</f>
        <v>-6.0586469128370197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Intersections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CHUNAN SHIH</cp:lastModifiedBy>
  <dcterms:created xsi:type="dcterms:W3CDTF">2025-11-10T16:31:56Z</dcterms:created>
  <dcterms:modified xsi:type="dcterms:W3CDTF">2025-11-12T08:11:08Z</dcterms:modified>
</cp:coreProperties>
</file>